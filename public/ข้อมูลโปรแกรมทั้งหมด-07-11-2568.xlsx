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CPatiwatM\Desktop\New folder\"/>
    </mc:Choice>
  </mc:AlternateContent>
  <xr:revisionPtr revIDLastSave="0" documentId="13_ncr:1_{933D14F0-FD66-4550-9720-0A65F2FD08FA}" xr6:coauthVersionLast="47" xr6:coauthVersionMax="47" xr10:uidLastSave="{00000000-0000-0000-0000-000000000000}"/>
  <bookViews>
    <workbookView xWindow="-108" yWindow="-108" windowWidth="23256" windowHeight="12456" firstSheet="1" activeTab="6" xr2:uid="{D1DED1F2-854C-4734-8246-D589BEF0D1B1}"/>
  </bookViews>
  <sheets>
    <sheet name="รวมทุกโปรแกรม" sheetId="1" r:id="rId1"/>
    <sheet name="Adobe" sheetId="2" r:id="rId2"/>
    <sheet name="AutoCAD LT" sheetId="3" r:id="rId3"/>
    <sheet name="Sheet1" sheetId="13" r:id="rId4"/>
    <sheet name="AEC + DOC" sheetId="5" r:id="rId5"/>
    <sheet name="AutoCAD + BIM Collaborate P" sheetId="4" r:id="rId6"/>
    <sheet name="Sketch up + Midas" sheetId="6" r:id="rId7"/>
    <sheet name="Microsoft Basic" sheetId="7" r:id="rId8"/>
    <sheet name="Microsft Standard" sheetId="8" r:id="rId9"/>
    <sheet name="Microsoft Premium" sheetId="9" r:id="rId10"/>
    <sheet name="Microsoft Project" sheetId="12" r:id="rId11"/>
    <sheet name="MS 365" sheetId="11" r:id="rId12"/>
    <sheet name="Antivirus" sheetId="10" r:id="rId13"/>
  </sheets>
  <definedNames>
    <definedName name="_xlnm._FilterDatabase" localSheetId="0" hidden="1">รวมทุกโปรแกรม!$A$1:$G$27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" i="3" l="1"/>
  <c r="F28" i="1"/>
  <c r="C46" i="8" a="1"/>
  <c r="C46" i="8"/>
  <c r="C3" i="8" a="1"/>
  <c r="C3" i="8"/>
  <c r="C4" i="8" a="1"/>
  <c r="C4" i="8"/>
  <c r="C5" i="8" a="1"/>
  <c r="C5" i="8"/>
  <c r="C6" i="8" a="1"/>
  <c r="C6" i="8"/>
  <c r="C7" i="8" a="1"/>
  <c r="C7" i="8"/>
  <c r="C8" i="8" a="1"/>
  <c r="C8" i="8"/>
  <c r="C9" i="8" a="1"/>
  <c r="C9" i="8"/>
  <c r="C10" i="8" a="1"/>
  <c r="C10" i="8"/>
  <c r="C11" i="8" a="1"/>
  <c r="C11" i="8"/>
  <c r="C12" i="8" a="1"/>
  <c r="C12" i="8"/>
  <c r="C13" i="8" a="1"/>
  <c r="C13" i="8"/>
  <c r="C14" i="8" a="1"/>
  <c r="C14" i="8"/>
  <c r="C15" i="8" a="1"/>
  <c r="C15" i="8"/>
  <c r="C16" i="8" a="1"/>
  <c r="C16" i="8"/>
  <c r="C17" i="8" a="1"/>
  <c r="C17" i="8"/>
  <c r="C18" i="8" a="1"/>
  <c r="C18" i="8"/>
  <c r="C19" i="8" a="1"/>
  <c r="C19" i="8"/>
  <c r="C20" i="8" a="1"/>
  <c r="C20" i="8"/>
  <c r="C21" i="8" a="1"/>
  <c r="C21" i="8"/>
  <c r="C22" i="8" a="1"/>
  <c r="C22" i="8"/>
  <c r="C23" i="8" a="1"/>
  <c r="C23" i="8"/>
  <c r="C24" i="8" a="1"/>
  <c r="C24" i="8"/>
  <c r="C25" i="8" a="1"/>
  <c r="C25" i="8"/>
  <c r="C27" i="8" a="1"/>
  <c r="C27" i="8"/>
  <c r="C28" i="8" a="1"/>
  <c r="C28" i="8"/>
  <c r="C29" i="8" a="1"/>
  <c r="C29" i="8"/>
  <c r="C30" i="8" a="1"/>
  <c r="C30" i="8"/>
  <c r="C31" i="8" a="1"/>
  <c r="C31" i="8"/>
  <c r="C32" i="8" a="1"/>
  <c r="C32" i="8"/>
  <c r="C33" i="8" a="1"/>
  <c r="C33" i="8"/>
  <c r="C34" i="8" a="1"/>
  <c r="C34" i="8"/>
  <c r="C35" i="8" a="1"/>
  <c r="C35" i="8"/>
  <c r="C36" i="8" a="1"/>
  <c r="C36" i="8"/>
  <c r="C37" i="8" a="1"/>
  <c r="C37" i="8"/>
  <c r="C38" i="8" a="1"/>
  <c r="C38" i="8"/>
  <c r="C39" i="8" a="1"/>
  <c r="C39" i="8"/>
  <c r="C40" i="8" a="1"/>
  <c r="C40" i="8"/>
  <c r="C41" i="8" a="1"/>
  <c r="C41" i="8"/>
  <c r="C42" i="8" a="1"/>
  <c r="C42" i="8"/>
  <c r="C43" i="8" a="1"/>
  <c r="C43" i="8"/>
  <c r="C44" i="8" a="1"/>
  <c r="C44" i="8"/>
  <c r="C45" i="8" a="1"/>
  <c r="C45" i="8"/>
  <c r="C47" i="8" a="1"/>
  <c r="C47" i="8"/>
  <c r="C48" i="8" a="1"/>
  <c r="C48" i="8"/>
  <c r="C49" i="8" a="1"/>
  <c r="C49" i="8"/>
  <c r="C50" i="8" a="1"/>
  <c r="C50" i="8"/>
  <c r="C51" i="8" a="1"/>
  <c r="C51" i="8"/>
  <c r="C52" i="8" a="1"/>
  <c r="C52" i="8"/>
  <c r="C53" i="8" a="1"/>
  <c r="C53" i="8"/>
  <c r="C54" i="8" a="1"/>
  <c r="C54" i="8"/>
  <c r="C55" i="8" a="1"/>
  <c r="C55" i="8"/>
  <c r="C57" i="8" a="1"/>
  <c r="C57" i="8"/>
  <c r="C58" i="8" a="1"/>
  <c r="C58" i="8"/>
  <c r="C59" i="8" a="1"/>
  <c r="C59" i="8"/>
  <c r="C60" i="8" a="1"/>
  <c r="C60" i="8"/>
  <c r="C61" i="8" a="1"/>
  <c r="C61" i="8"/>
  <c r="C62" i="8" a="1"/>
  <c r="C62" i="8"/>
  <c r="C63" i="8" a="1"/>
  <c r="C63" i="8"/>
  <c r="C64" i="8" a="1"/>
  <c r="C64" i="8"/>
  <c r="C65" i="8" a="1"/>
  <c r="C65" i="8"/>
  <c r="C66" i="8" a="1"/>
  <c r="C66" i="8"/>
  <c r="C67" i="8" a="1"/>
  <c r="C67" i="8"/>
  <c r="C68" i="8" a="1"/>
  <c r="C68" i="8"/>
  <c r="C69" i="8" a="1"/>
  <c r="C69" i="8"/>
  <c r="C70" i="8" a="1"/>
  <c r="C70" i="8"/>
  <c r="C71" i="8" a="1"/>
  <c r="C71" i="8"/>
  <c r="C72" i="8" a="1"/>
  <c r="C72" i="8"/>
  <c r="C73" i="8" a="1"/>
  <c r="C73" i="8"/>
  <c r="C74" i="8" a="1"/>
  <c r="C74" i="8"/>
  <c r="C75" i="8" a="1"/>
  <c r="C75" i="8"/>
  <c r="C76" i="8" a="1"/>
  <c r="C76" i="8"/>
  <c r="C77" i="8" a="1"/>
  <c r="C77" i="8"/>
  <c r="C78" i="8" a="1"/>
  <c r="C78" i="8"/>
  <c r="C79" i="8" a="1"/>
  <c r="C79" i="8"/>
  <c r="C80" i="8" a="1"/>
  <c r="C80" i="8"/>
  <c r="C81" i="8" a="1"/>
  <c r="C81" i="8"/>
  <c r="C82" i="8" a="1"/>
  <c r="C82" i="8"/>
  <c r="C83" i="8" a="1"/>
  <c r="C83" i="8"/>
  <c r="C84" i="8" a="1"/>
  <c r="C84" i="8"/>
  <c r="C85" i="8" a="1"/>
  <c r="C85" i="8"/>
  <c r="C86" i="8" a="1"/>
  <c r="C86" i="8"/>
  <c r="C87" i="8" a="1"/>
  <c r="C87" i="8"/>
  <c r="C88" i="8" a="1"/>
  <c r="C88" i="8"/>
  <c r="C89" i="8" a="1"/>
  <c r="C89" i="8"/>
  <c r="C90" i="8" a="1"/>
  <c r="C90" i="8"/>
  <c r="C91" i="8" a="1"/>
  <c r="C91" i="8"/>
  <c r="C92" i="8" a="1"/>
  <c r="C92" i="8"/>
  <c r="C93" i="8" a="1"/>
  <c r="C93" i="8"/>
  <c r="C94" i="8" a="1"/>
  <c r="C94" i="8"/>
  <c r="C95" i="8" a="1"/>
  <c r="C95" i="8"/>
  <c r="C96" i="8" a="1"/>
  <c r="C96" i="8"/>
  <c r="C97" i="8" a="1"/>
  <c r="C97" i="8"/>
  <c r="C98" i="8" a="1"/>
  <c r="C98" i="8"/>
  <c r="C99" i="8" a="1"/>
  <c r="C99" i="8"/>
  <c r="C100" i="8" a="1"/>
  <c r="C100" i="8"/>
  <c r="C101" i="8" a="1"/>
  <c r="C101" i="8"/>
  <c r="C102" i="8" a="1"/>
  <c r="C102" i="8"/>
  <c r="C103" i="8" a="1"/>
  <c r="C103" i="8"/>
  <c r="C104" i="8" a="1"/>
  <c r="C104" i="8"/>
  <c r="C105" i="8" a="1"/>
  <c r="C105" i="8"/>
  <c r="C106" i="8" a="1"/>
  <c r="C106" i="8"/>
  <c r="C107" i="8" a="1"/>
  <c r="C107" i="8"/>
  <c r="C108" i="8" a="1"/>
  <c r="C108" i="8"/>
  <c r="C109" i="8" a="1"/>
  <c r="C109" i="8"/>
  <c r="C110" i="8" a="1"/>
  <c r="C110" i="8"/>
  <c r="C111" i="8" a="1"/>
  <c r="C111" i="8"/>
  <c r="C112" i="8" a="1"/>
  <c r="C112" i="8"/>
  <c r="C113" i="8" a="1"/>
  <c r="C113" i="8"/>
  <c r="C114" i="8" a="1"/>
  <c r="C114" i="8"/>
  <c r="C115" i="8" a="1"/>
  <c r="C115" i="8"/>
  <c r="C116" i="8" a="1"/>
  <c r="C116" i="8"/>
  <c r="C117" i="8" a="1"/>
  <c r="C117" i="8"/>
  <c r="C118" i="8" a="1"/>
  <c r="C118" i="8"/>
  <c r="C119" i="8" a="1"/>
  <c r="C119" i="8"/>
  <c r="C120" i="8" a="1"/>
  <c r="C120" i="8"/>
  <c r="C121" i="8" a="1"/>
  <c r="C121" i="8"/>
  <c r="C122" i="8" a="1"/>
  <c r="C122" i="8"/>
  <c r="C123" i="8" a="1"/>
  <c r="C123" i="8"/>
  <c r="C124" i="8" a="1"/>
  <c r="C124" i="8"/>
  <c r="C125" i="8" a="1"/>
  <c r="C125" i="8"/>
  <c r="C126" i="8" a="1"/>
  <c r="C126" i="8"/>
  <c r="C127" i="8" a="1"/>
  <c r="C127" i="8"/>
  <c r="H8" i="1"/>
  <c r="H22" i="1"/>
  <c r="H24" i="1"/>
  <c r="H26" i="1"/>
  <c r="H25" i="1"/>
  <c r="H23" i="1"/>
  <c r="H20" i="1"/>
  <c r="H21" i="1"/>
  <c r="H18" i="1"/>
  <c r="H16" i="1"/>
  <c r="H15" i="1"/>
  <c r="H14" i="1"/>
  <c r="H13" i="1"/>
  <c r="H10" i="1"/>
  <c r="H12" i="1"/>
  <c r="H9" i="1"/>
  <c r="H7" i="1"/>
  <c r="H3" i="1"/>
  <c r="H2" i="1"/>
  <c r="G17" i="1"/>
  <c r="H17" i="1" s="1"/>
  <c r="C40" i="9"/>
  <c r="C7" i="12"/>
  <c r="C6" i="12"/>
  <c r="C8" i="12"/>
  <c r="C39" i="9"/>
  <c r="C41" i="9" s="1"/>
  <c r="C15" i="7"/>
  <c r="C14" i="7"/>
  <c r="C16" i="7"/>
  <c r="C28" i="6"/>
  <c r="C27" i="6"/>
  <c r="C16" i="6"/>
  <c r="C15" i="6"/>
  <c r="C28" i="5"/>
  <c r="C27" i="5"/>
  <c r="C12" i="5"/>
  <c r="C11" i="5"/>
  <c r="C29" i="5"/>
  <c r="C13" i="5"/>
  <c r="C28" i="4"/>
  <c r="C27" i="4"/>
  <c r="C13" i="4"/>
  <c r="C12" i="4"/>
  <c r="C14" i="4" s="1"/>
  <c r="C71" i="3"/>
  <c r="C29" i="6"/>
  <c r="C17" i="6"/>
  <c r="C29" i="4"/>
  <c r="C16" i="2"/>
  <c r="C15" i="2"/>
  <c r="C17" i="2" s="1"/>
  <c r="C129" i="8"/>
  <c r="C130" i="8"/>
  <c r="G6" i="1"/>
  <c r="H6" i="1" s="1"/>
  <c r="G5" i="1"/>
  <c r="H5" i="1" l="1"/>
  <c r="G28" i="1"/>
  <c r="H28" i="1"/>
  <c r="C7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<sst xmlns="http://schemas.openxmlformats.org/spreadsheetml/2006/main" count="2463" uniqueCount="1068">
  <si>
    <t>Owner</t>
  </si>
  <si>
    <t>Program</t>
  </si>
  <si>
    <t>Licesen</t>
  </si>
  <si>
    <t>EXP DATE</t>
  </si>
  <si>
    <t>VENDER</t>
  </si>
  <si>
    <t>ราคา/Unit</t>
  </si>
  <si>
    <t>ราคารวม</t>
  </si>
  <si>
    <t>ราคา/ตามเดือน</t>
  </si>
  <si>
    <t>รวม</t>
  </si>
  <si>
    <t>Adobe</t>
  </si>
  <si>
    <t>Acrobat Pro</t>
  </si>
  <si>
    <t>Mteach</t>
  </si>
  <si>
    <t>Autodesk</t>
  </si>
  <si>
    <t>AutoCAD LT</t>
  </si>
  <si>
    <t>VR</t>
  </si>
  <si>
    <t>Netcube</t>
  </si>
  <si>
    <t>AutoCAD</t>
  </si>
  <si>
    <t>BIM Collaborate Pro</t>
  </si>
  <si>
    <t>AEC</t>
  </si>
  <si>
    <t>Packer AEC BIM</t>
  </si>
  <si>
    <t>DOC</t>
  </si>
  <si>
    <t>Microsoft</t>
  </si>
  <si>
    <t>Microsoft 365 Basic</t>
  </si>
  <si>
    <t>Microsoft 365 Standard</t>
  </si>
  <si>
    <t>Ampo Microsys</t>
  </si>
  <si>
    <t>Microsoft 365 Premium</t>
  </si>
  <si>
    <t>Microsoft Project Plan 3</t>
  </si>
  <si>
    <t>itsolution</t>
  </si>
  <si>
    <t>Midas</t>
  </si>
  <si>
    <t>Midas Gen Plus</t>
  </si>
  <si>
    <t>ไมดาสทีม</t>
  </si>
  <si>
    <t>Antivirus</t>
  </si>
  <si>
    <t>Bit Defender</t>
  </si>
  <si>
    <t>Trimble</t>
  </si>
  <si>
    <t>Sketch up Pro</t>
  </si>
  <si>
    <t>เอดิโก้เอ็นจิเนียริ่ง</t>
  </si>
  <si>
    <t>Mango</t>
  </si>
  <si>
    <t>SSL APP mango</t>
  </si>
  <si>
    <t>UIH</t>
  </si>
  <si>
    <t>Maintenance Mango</t>
  </si>
  <si>
    <t>MANGO</t>
  </si>
  <si>
    <t>HUMANO</t>
  </si>
  <si>
    <t>ค่า MA Service</t>
  </si>
  <si>
    <t>ไทรแองเกิล</t>
  </si>
  <si>
    <t>Domain</t>
  </si>
  <si>
    <t>โดเมนภาษาอังกฤษ mec-eng</t>
  </si>
  <si>
    <t>ที.เอช.นิค</t>
  </si>
  <si>
    <t xml:space="preserve">Host </t>
  </si>
  <si>
    <t>เว็ปไซต์</t>
  </si>
  <si>
    <t>Z.com</t>
  </si>
  <si>
    <t>PDF</t>
  </si>
  <si>
    <t>Bluebeam</t>
  </si>
  <si>
    <t>Synergysoft</t>
  </si>
  <si>
    <t xml:space="preserve">โปรแกรม Adobe Acrobat Pro 10 License </t>
  </si>
  <si>
    <t xml:space="preserve">เป็นโปรแกรมระดับมืออาชีพที่ใช้จัดการไฟล์ PDF ครบวงจร ไม่ว่าจะเป็นการอ่าน แก้ไข แปลงไฟล์ รวมไฟล์ เซ็นเอกสาร หรือใส่รหัสป้องกันไฟล์ เรียกได้ว่าเป็นโปรแกรมที่ออกแบบมาเพื่อคนทำงานเอกสารโดยเฉพาะ </t>
  </si>
  <si>
    <t>ลำดับ</t>
  </si>
  <si>
    <t>Assigned users</t>
  </si>
  <si>
    <t>ชื่อ-นามสกุล</t>
  </si>
  <si>
    <t>เบอร์</t>
  </si>
  <si>
    <t>ตำแหน่ง</t>
  </si>
  <si>
    <t>Email</t>
  </si>
  <si>
    <t>account</t>
  </si>
  <si>
    <t>Remarks</t>
  </si>
  <si>
    <t>สำนักงาน/โครงการ</t>
  </si>
  <si>
    <t>Jesada Deenang</t>
  </si>
  <si>
    <t>เจษฎา ดีนาง</t>
  </si>
  <si>
    <t>081-751-9054</t>
  </si>
  <si>
    <t xml:space="preserve">ผู้อำนวยการประจำสำนักงานประธานเจ้าหน้าที่บริหาร </t>
  </si>
  <si>
    <t>jesada.d@mec-eng.co.th</t>
  </si>
  <si>
    <t>สำนักงานใหญ่</t>
  </si>
  <si>
    <t>Paiboon Soviraj</t>
  </si>
  <si>
    <t>ไพบูลย์ โสวิรัชน์</t>
  </si>
  <si>
    <t>081-306-9997</t>
  </si>
  <si>
    <t>ผู้ช่วยประธานเจ้าหน้าที่บริหาร</t>
  </si>
  <si>
    <t>paiboon.s@mec-eng.co.th</t>
  </si>
  <si>
    <t>พิมลพัชร์ เตชเรืองรัศมี</t>
  </si>
  <si>
    <t>080 550 1514</t>
  </si>
  <si>
    <t>ผู้จัดการแผนกบัญชี</t>
  </si>
  <si>
    <t>Pimonpat.t@mec-eng.co.th</t>
  </si>
  <si>
    <t>Ramanee Asarath</t>
  </si>
  <si>
    <t>รัมณีย์ อาษารัฐ</t>
  </si>
  <si>
    <t>081-815-7444</t>
  </si>
  <si>
    <t>ประธานเจ้าหน้าที่บริหาร</t>
  </si>
  <si>
    <t>ramanee.a@mec-eng.co.th</t>
  </si>
  <si>
    <t>ว่าง</t>
  </si>
  <si>
    <t>Status</t>
  </si>
  <si>
    <t>Count</t>
  </si>
  <si>
    <t>Active</t>
  </si>
  <si>
    <t>Inactive</t>
  </si>
  <si>
    <t>Total</t>
  </si>
  <si>
    <t>รายชื่อผู้ใช้งาน โปนแกรม AutoCAD LT 61 License</t>
  </si>
  <si>
    <t>รุ่นย่อ ราคาถูกกว่า เหมาะกับงาน 2D</t>
  </si>
  <si>
    <t>ฝ่าย</t>
  </si>
  <si>
    <t>Apichat Jukkrua</t>
  </si>
  <si>
    <t xml:space="preserve">อภิชาต จักเครือ </t>
  </si>
  <si>
    <t>096-643-5959</t>
  </si>
  <si>
    <t>วิศวกรเครื่องกล</t>
  </si>
  <si>
    <t>Anchisa.n@mec-eng.co.th</t>
  </si>
  <si>
    <t>Apichat.j@mec-eng.co.th</t>
  </si>
  <si>
    <t>itadmin</t>
  </si>
  <si>
    <t>เขาใหญ่</t>
  </si>
  <si>
    <t>Kritsakorn Teeraphanphichai</t>
  </si>
  <si>
    <t>กฤษกร ธีรพันธ์พิชัย  (พี่กิจ)</t>
  </si>
  <si>
    <t>082-323-8860</t>
  </si>
  <si>
    <t>ฝ่ายนวัตกรรมและการออกแบบ</t>
  </si>
  <si>
    <t>kritsakorn.t@mec-eng.co.th</t>
  </si>
  <si>
    <t>Kritsakorn.mec@gmail.com</t>
  </si>
  <si>
    <t>Nakaret Kumchan</t>
  </si>
  <si>
    <t>นคเรศ คำจันทร์  (ตูน)</t>
  </si>
  <si>
    <t>088-686-8446</t>
  </si>
  <si>
    <t>ฝ่ายวิศวกรรม</t>
  </si>
  <si>
    <t>Nakaret.k@mec-eng.co.th</t>
  </si>
  <si>
    <t>ไพบูลย์ โสวิรัชน์ (พี่บูลย์)</t>
  </si>
  <si>
    <t>ฝ่ายบริหาร</t>
  </si>
  <si>
    <t>paiboon.mec@gmail.com</t>
  </si>
  <si>
    <t>Pittaya Saktong</t>
  </si>
  <si>
    <t>พิทยา ศักดิ์ทอง (พี่แตน)</t>
  </si>
  <si>
    <t>098-553-5164</t>
  </si>
  <si>
    <t>ฝ่ายประมาณราคาและควบคุมต้นทุน</t>
  </si>
  <si>
    <t>Pittya.s@mec-eng.co.th</t>
  </si>
  <si>
    <t>Sutthipong Kummongkol</t>
  </si>
  <si>
    <t>สุทธิพงศ์ คำมงคล (พี่พงศ์)</t>
  </si>
  <si>
    <t>082-572-9777</t>
  </si>
  <si>
    <t>sutthipong.k@mec-eng.co.th</t>
  </si>
  <si>
    <t>sutthipong.mec@gmail.com</t>
  </si>
  <si>
    <t>Thummapradit Dumrongsombut</t>
  </si>
  <si>
    <t>ธรรมประดิษฐ์ ดำรงค์สมบัติ  (พี่โม)</t>
  </si>
  <si>
    <t>095-791-6516</t>
  </si>
  <si>
    <t>ฝ่ายวิศวกรรมโยธา</t>
  </si>
  <si>
    <t>thummapradit.d@mec-eng.co.th</t>
  </si>
  <si>
    <t>Thummapradit.mec@gmail.com</t>
  </si>
  <si>
    <t>Yossawadee Siritannung</t>
  </si>
  <si>
    <t>ยศวดี ศิริตันหนึง (แพรว)</t>
  </si>
  <si>
    <t>081-241-9519</t>
  </si>
  <si>
    <t>ฝ่ายวิศวกรประมาณราคา (ระบบไฟฟ้า)</t>
  </si>
  <si>
    <t>Yossawadee.s@mec-eng.co.th</t>
  </si>
  <si>
    <t>Rutta pol Promsungkaha</t>
  </si>
  <si>
    <t>รัตพล พรหมสังคหะ (พี่พล)</t>
  </si>
  <si>
    <t>086-399-7535</t>
  </si>
  <si>
    <t>ruttapol.mec@gmail.com</t>
  </si>
  <si>
    <t>สงขลา (อันวา)</t>
  </si>
  <si>
    <t>Natapong Muedkuntod</t>
  </si>
  <si>
    <t>ณัฐพงศ์ มืดขุนทด (พี่ก้อง)</t>
  </si>
  <si>
    <t>084-737-4070</t>
  </si>
  <si>
    <t>Site en</t>
  </si>
  <si>
    <t>Natapong.M@mec-eng.co.th</t>
  </si>
  <si>
    <t>มหาสารคราม (มมส.)</t>
  </si>
  <si>
    <t>Parinthon Sirichotampho</t>
  </si>
  <si>
    <t>ปรินทร ศิริโชติอัมพร (พี่คิว)</t>
  </si>
  <si>
    <t>093-484-3811</t>
  </si>
  <si>
    <t>วิศวกรสำนักงาน</t>
  </si>
  <si>
    <t>Parinthon.S@mec-eng.co.th</t>
  </si>
  <si>
    <t>Poomrapee Suramul</t>
  </si>
  <si>
    <t>ภูมิรพี สุระมุล (พี่วัส)</t>
  </si>
  <si>
    <t>083-460-3431</t>
  </si>
  <si>
    <t>ฝ่ายก่อสร้าง</t>
  </si>
  <si>
    <t>Poomrapee.s@mec-eng.co.th</t>
  </si>
  <si>
    <t>Rangson T</t>
  </si>
  <si>
    <t>รังสรรค์ ตาลจรัส (พี่โอ)</t>
  </si>
  <si>
    <t>095-846-9355</t>
  </si>
  <si>
    <t>วิศวกรเครืองกล</t>
  </si>
  <si>
    <t>Rangson.t@mec-eng.co.th</t>
  </si>
  <si>
    <t>Uthai Sangarun</t>
  </si>
  <si>
    <t>อุทัย แสงอรุณ (พี่ทัย)</t>
  </si>
  <si>
    <t>089-289-9398</t>
  </si>
  <si>
    <t>Uthai.s@mec-eng.co.th</t>
  </si>
  <si>
    <t>uthai.s.mec@gmail.com</t>
  </si>
  <si>
    <t>Tewara Tongruang</t>
  </si>
  <si>
    <t xml:space="preserve">ธีร์วรา ทองเรือง (พี่เบส) </t>
  </si>
  <si>
    <t>086-949-6611</t>
  </si>
  <si>
    <t>ฝ่ายวิศวกรรมงานระบบประกอบอาคาร</t>
  </si>
  <si>
    <t>tewara.mec@gmail.com</t>
  </si>
  <si>
    <t>Tewara.mec@gmail.com</t>
  </si>
  <si>
    <t>บุรีรัมย์ (รพ.บุรีรัมย์)</t>
  </si>
  <si>
    <t>Kittipong Dungpraw</t>
  </si>
  <si>
    <t>กิตติพงษ์ ด้วงพร้าว (พี่เสือ)</t>
  </si>
  <si>
    <t>098-053-2507</t>
  </si>
  <si>
    <t>Kittipong.d@mec-eng.co.th</t>
  </si>
  <si>
    <t>kitti48012117.mec@gmail.com</t>
  </si>
  <si>
    <t>นครศรีธรรมราช (ศาล ทุ่งสง)</t>
  </si>
  <si>
    <t>Passagorn Noonmon</t>
  </si>
  <si>
    <t>พัสกร นุ่นมัน (พี่นุก)</t>
  </si>
  <si>
    <t>083-645-1499</t>
  </si>
  <si>
    <t>passagorn.mec@gmail.com</t>
  </si>
  <si>
    <t>Prajak Kraisornkhuthayut</t>
  </si>
  <si>
    <t>ประจักร์ ไกรสรคุฑายุทธ์ (พี่เอก)</t>
  </si>
  <si>
    <t>086-974-4169</t>
  </si>
  <si>
    <t>prajak.k@mec-eng.co.th</t>
  </si>
  <si>
    <t>Sarawut Sriphet</t>
  </si>
  <si>
    <t>ศราวุฒิ ศรีเพชร (พี่โบ้ว)</t>
  </si>
  <si>
    <t>098-669-8409</t>
  </si>
  <si>
    <t>Sarawut.s@mec-eng.co.th</t>
  </si>
  <si>
    <t>Supachai Saneekarn</t>
  </si>
  <si>
    <t>ศุภชัย เสนีกาญจน์  (พีแต)</t>
  </si>
  <si>
    <t>088-751-8937</t>
  </si>
  <si>
    <t>Supachai.S@mec-eng.co.th</t>
  </si>
  <si>
    <t>Tuansuhaimin Tuanputeh</t>
  </si>
  <si>
    <t>ต่วนซูไฮมีน ต่วนปูเตะ (พี่ต่วน)</t>
  </si>
  <si>
    <t>080-712-7330</t>
  </si>
  <si>
    <t>Tuansuhaimin.t@mec-eng.co.th</t>
  </si>
  <si>
    <t>tuan192.mec@gmail.com</t>
  </si>
  <si>
    <t>Ittidate Promsa</t>
  </si>
  <si>
    <t>อิทธิเดช พรมสา  (พี่ทีม)</t>
  </si>
  <si>
    <t>093-592-1233</t>
  </si>
  <si>
    <t>Ittidate.P@mec-eng.co.th</t>
  </si>
  <si>
    <t>เชียงใหม่ (สาธิต มช.)</t>
  </si>
  <si>
    <t>teraphich phetrak</t>
  </si>
  <si>
    <t>ธีรพิชญ์ เพชรรักษ์ (พี่เจม)</t>
  </si>
  <si>
    <t>065-594-1417</t>
  </si>
  <si>
    <t>Teraphich.p@mec-eng.co.th</t>
  </si>
  <si>
    <t>Wirat Ninkham</t>
  </si>
  <si>
    <t>วิรัตน์ นิลขำ (พี่บีม)</t>
  </si>
  <si>
    <t>086-654-5152</t>
  </si>
  <si>
    <t>Wirat.n@mec-eng.co.th</t>
  </si>
  <si>
    <t>Wirat.mec@gmail.com</t>
  </si>
  <si>
    <t>Nauttapon Buaking</t>
  </si>
  <si>
    <t>ณัฐพล บัวกิ่ง (พี่นีอต)</t>
  </si>
  <si>
    <t>085-077-3352</t>
  </si>
  <si>
    <t>nattapon.b@mec-eng.co.th</t>
  </si>
  <si>
    <t>เชียงใหม่ (รพ.ประสาท)</t>
  </si>
  <si>
    <t>Pracha Nansunee</t>
  </si>
  <si>
    <t>ประชา นันท์สุนีย์ (พี่ตั้ง)</t>
  </si>
  <si>
    <t>087-918-1683</t>
  </si>
  <si>
    <t>Pracha.n@mec-eng.co.th</t>
  </si>
  <si>
    <t>Sansern W</t>
  </si>
  <si>
    <t>สรรเสริญ วงศ์ทำ (พี่น๊อต)</t>
  </si>
  <si>
    <t>094-004-8650</t>
  </si>
  <si>
    <t>ฝ่าย วิศวกรรมโยธา</t>
  </si>
  <si>
    <t>Sansern.w@mec-eng.co.th</t>
  </si>
  <si>
    <t>Kriangkai Chamchen</t>
  </si>
  <si>
    <t>เกรียงไกร แช่มชื่น (พี่เกรียง)</t>
  </si>
  <si>
    <t>063-979-0022</t>
  </si>
  <si>
    <t>kriangkai.c@mec-eng.co.th</t>
  </si>
  <si>
    <t>Kriangkai.mec@gmail.com</t>
  </si>
  <si>
    <t>เชียงใหม่ (รพ.จอมทอง)</t>
  </si>
  <si>
    <t>Peerawut Kaewmanee</t>
  </si>
  <si>
    <t>พีระวุฒิ เขียวมณี (พี่เติ้บ)</t>
  </si>
  <si>
    <t>061-654-1095</t>
  </si>
  <si>
    <t>Peerawut.K@mec-eng.co.th</t>
  </si>
  <si>
    <t>Phatthanan Tophuang</t>
  </si>
  <si>
    <t>พัทธนันท์ โตพ่วง (พี่ยุ้ย)</t>
  </si>
  <si>
    <t>082-896-4995</t>
  </si>
  <si>
    <t>Phatthanan.t@mec-eng.co.th</t>
  </si>
  <si>
    <t>phatthanan.mec@gmail.com</t>
  </si>
  <si>
    <t>Thananrath Saengchaithitisook</t>
  </si>
  <si>
    <t>ธนันท์รัฐ แสงชัยฐิติสุข (พี่ท็อป)</t>
  </si>
  <si>
    <t>086-653-7016</t>
  </si>
  <si>
    <t>thananrath.s@mec-eng.co.th</t>
  </si>
  <si>
    <t>thananrath.mec@gmail.com</t>
  </si>
  <si>
    <t>Yongyoot Thathom</t>
  </si>
  <si>
    <t>ยงยุทธ ท่าทม (ช่างอาท)</t>
  </si>
  <si>
    <t>094-537-5250</t>
  </si>
  <si>
    <t>Yongyoot.t@mec-eng.co.th</t>
  </si>
  <si>
    <t>yongyoot.mec@gmail.com</t>
  </si>
  <si>
    <t>Nichanan Kimhin</t>
  </si>
  <si>
    <t>ณิชนันทน์ กิ้มหิ้น (พี่แมว)</t>
  </si>
  <si>
    <t>062-965-3260</t>
  </si>
  <si>
    <t>Nichanan.mec@gmail.com</t>
  </si>
  <si>
    <t>เชียงใหม่ (คณะวิทย์ มช.)</t>
  </si>
  <si>
    <t>Witchuda Nasing</t>
  </si>
  <si>
    <t>วิชชุดา นาสิงห์ (พี่ทัดดาว)</t>
  </si>
  <si>
    <t>094-291-5242</t>
  </si>
  <si>
    <t>ฝ่าย งานระบบเครื่องกลและไฟฟ้า</t>
  </si>
  <si>
    <t>Witchuda.n@mec-eng.co.th</t>
  </si>
  <si>
    <t>Wassari Kachintorn</t>
  </si>
  <si>
    <t>วัศริศร์ คชินทร (พี่หนุ่ม)</t>
  </si>
  <si>
    <t>089-815-5968</t>
  </si>
  <si>
    <t>Wassaris.k@mec-eng.co.th</t>
  </si>
  <si>
    <t>เชียงใหม่</t>
  </si>
  <si>
    <t>Kiattisak Namkiat</t>
  </si>
  <si>
    <t>เกียรติศักดิ์ นามเกียรติ (พี่จอร์จ)</t>
  </si>
  <si>
    <t>061-167-7819</t>
  </si>
  <si>
    <t>Kiattisak.n@mec-eng.co.th</t>
  </si>
  <si>
    <t>namkiat065.mec@gmail.com</t>
  </si>
  <si>
    <t>เชียงราย (สถานีรถไฟ)</t>
  </si>
  <si>
    <t>Nattaphon Khamlue</t>
  </si>
  <si>
    <t>ณัฐพล คำลือ  (ช่างลูฟ)</t>
  </si>
  <si>
    <t>063-1142-561</t>
  </si>
  <si>
    <t>Survey</t>
  </si>
  <si>
    <t>Nattaphon.K@mec-eng.co.th</t>
  </si>
  <si>
    <t>Natthaphong Patsawatthana</t>
  </si>
  <si>
    <t>ณัฐพงษ์ ปัสสาวัฒนะ (ช่างนัท)</t>
  </si>
  <si>
    <t>095-874-4987</t>
  </si>
  <si>
    <t>Natthaphong.p@mec-eng.co.th</t>
  </si>
  <si>
    <t>ขอนแก่น (ชุมแพ)</t>
  </si>
  <si>
    <t>Satja Wiranja</t>
  </si>
  <si>
    <t>สัจจะ วิรัญจะ (พี่อ้าย)</t>
  </si>
  <si>
    <t>095-181-7725</t>
  </si>
  <si>
    <t>Satja.W@mec-eng.co.th</t>
  </si>
  <si>
    <t>Tachit Songprayud</t>
  </si>
  <si>
    <t>เตชิต สงประหยัด (พี่แบงค์)</t>
  </si>
  <si>
    <t>083-890-9147</t>
  </si>
  <si>
    <t>Tachit1989.mec@gmail.com</t>
  </si>
  <si>
    <t>Suchart Kwansuksri</t>
  </si>
  <si>
    <t>สุชาติ ขวัญสุขศรี (พี่ชาติ)</t>
  </si>
  <si>
    <t>081-348-3447</t>
  </si>
  <si>
    <t>รักษาการผู้จัดการฝ่ายก่อสร้าง</t>
  </si>
  <si>
    <t>suchart.k@mec-eng.co.th</t>
  </si>
  <si>
    <t>Hataira Pengkotr</t>
  </si>
  <si>
    <t>Jakkapan Yaniwong</t>
  </si>
  <si>
    <t>รายชื่อผู้ใช้งาน โปนแกรม AutoCAD LT</t>
  </si>
  <si>
    <t>Chaiwat S</t>
  </si>
  <si>
    <t>ชัยวัฒน์ สนทองหลาง (พี่นัท)</t>
  </si>
  <si>
    <t>094-330-1548</t>
  </si>
  <si>
    <t>Chaiwat.s@mec-eng.co.th</t>
  </si>
  <si>
    <t>wee</t>
  </si>
  <si>
    <t>Chirawat chanklang</t>
  </si>
  <si>
    <t>จิรวัฒน์ จันทร์กลาง (พี่เบีย)</t>
  </si>
  <si>
    <t>096-986-7389</t>
  </si>
  <si>
    <t>Chirawat.c@mec-eng.co.th</t>
  </si>
  <si>
    <t>chirawat.mec@hotmail.com</t>
  </si>
  <si>
    <t>Chissanupong Chissanupong</t>
  </si>
  <si>
    <t>ชิษณุพงศ์ เครือสุข (พี่แบน)</t>
  </si>
  <si>
    <t>085-332-1469</t>
  </si>
  <si>
    <t>chissanupong.k@mec-eng.co.th</t>
  </si>
  <si>
    <t>Pakorn Thongchuen</t>
  </si>
  <si>
    <t>ปกรณ์ ทองชื่น (พี่ยุ้ย)</t>
  </si>
  <si>
    <t>083-991-4880</t>
  </si>
  <si>
    <t>pakorntc.mec@gmail.com</t>
  </si>
  <si>
    <t>Poonkeat Sutthirug</t>
  </si>
  <si>
    <t>พูนเกียรติ สุทธิรักษ์ (พี่ติ)</t>
  </si>
  <si>
    <t>081-797-0293</t>
  </si>
  <si>
    <t>poonkeat.s@mec-eng.co.th</t>
  </si>
  <si>
    <t>Poonkeats.mec@gmail.com</t>
  </si>
  <si>
    <t>Sumrit Sookcharoen</t>
  </si>
  <si>
    <t>สัมฤทธิ์ สุขเจริญ (พี่สัมฤทธิ์)</t>
  </si>
  <si>
    <t>081-981-2187</t>
  </si>
  <si>
    <t>sumrit.s@mec-eng.co.th</t>
  </si>
  <si>
    <t>Tun Jungwanitchakun</t>
  </si>
  <si>
    <t>ธัญ จึงวณิชกุล (พี่ธัญ)</t>
  </si>
  <si>
    <t>Tun.j@mec-eng.co.th</t>
  </si>
  <si>
    <t>Teerachai Maibunkaew</t>
  </si>
  <si>
    <t>ธีรชัย ไหมบุญแก้ว (พี่ขาว)</t>
  </si>
  <si>
    <t>080-696-5271</t>
  </si>
  <si>
    <t>teerachai.m@mec-eng.co.th</t>
  </si>
  <si>
    <t>Teerachai.m@mec-eng.co.th</t>
  </si>
  <si>
    <t>Pornpimol L</t>
  </si>
  <si>
    <t>พรพิมล ลอยลม (พี่ต๊อกแต๊ก)</t>
  </si>
  <si>
    <t>099-447-3612</t>
  </si>
  <si>
    <t>pornpimol.mec@gmail.com</t>
  </si>
  <si>
    <t>สิงหา ทองมี</t>
  </si>
  <si>
    <t>สิงหา ทองมี (พี่ก้อย)</t>
  </si>
  <si>
    <t>083-996-4080</t>
  </si>
  <si>
    <t>singha.t@mec-eng.co.th</t>
  </si>
  <si>
    <t>Nattapong Thongnoun</t>
  </si>
  <si>
    <t>ณัฐพงศ์ ทองนวล  (ช่างนัท)</t>
  </si>
  <si>
    <t>082-424-9134</t>
  </si>
  <si>
    <t>Nattapong.t@mec-eng.co.th</t>
  </si>
  <si>
    <t>Nattapongth.mec@gmail.com</t>
  </si>
  <si>
    <t>Nattakorn Promthong</t>
  </si>
  <si>
    <t>ณัฏฐกร พรหมทอง (พี่จอม)</t>
  </si>
  <si>
    <t>084-696-2756</t>
  </si>
  <si>
    <t>nattakorn.p@mec-eng.co.th</t>
  </si>
  <si>
    <t>Punyawee Sawangpunt</t>
  </si>
  <si>
    <t>ปุณยวีร์ สว่างพันธุ์ (พี่ภู่)</t>
  </si>
  <si>
    <t>081-710-1526</t>
  </si>
  <si>
    <t>punyawee.s@mec-eng.co.th</t>
  </si>
  <si>
    <t>s.punyawee.mec@gmail.com</t>
  </si>
  <si>
    <t>Samana Na Nakorn</t>
  </si>
  <si>
    <t>สมณะ ณ นคร (พี่เกิ้ล)</t>
  </si>
  <si>
    <t>098-251-1689</t>
  </si>
  <si>
    <t>samana.n@mec-eng.co.th</t>
  </si>
  <si>
    <t>samana.mec@gmail.com</t>
  </si>
  <si>
    <t>Korakot Wattanasatjanukul</t>
  </si>
  <si>
    <t>กรกต วัฒนสัจจานุกูล (พี่เก็ต)</t>
  </si>
  <si>
    <t>087-546-5230</t>
  </si>
  <si>
    <t>ฝ่ายงานระบบเครื่องกลและไฟฟ้า</t>
  </si>
  <si>
    <t>korakot.w@mec-eng.co.th</t>
  </si>
  <si>
    <t>Wiriya Sukjit</t>
  </si>
  <si>
    <t>วิริยะ สุขจิตร์  (ช่างดิน)</t>
  </si>
  <si>
    <t>089-221-4874</t>
  </si>
  <si>
    <t>viriya.sukjit.mec@gmail.com</t>
  </si>
  <si>
    <t>Parichat Meeta</t>
  </si>
  <si>
    <t>ปริฉัตร มีทา (พี่จ้อม)</t>
  </si>
  <si>
    <t>083-696-8221</t>
  </si>
  <si>
    <t>Parichat.m@mec-eng.co.th</t>
  </si>
  <si>
    <t>parichat.jomm@gmail.com</t>
  </si>
  <si>
    <t>TERDKIET C</t>
  </si>
  <si>
    <t>เทิดเกียรติ ชูเพ็ง (พี่เล็ก)</t>
  </si>
  <si>
    <t>063-079-4750</t>
  </si>
  <si>
    <t>Terdkiet.c@mec-eng.co.th</t>
  </si>
  <si>
    <t>terdkiet.mec@gmail.com</t>
  </si>
  <si>
    <t>Teerapong T</t>
  </si>
  <si>
    <t>ธีระพงษ์ ทาประเสริฐ (ช่างอามร์ม)</t>
  </si>
  <si>
    <t>096-697-1771</t>
  </si>
  <si>
    <t>Teerapong.t@mec-eng.co.th</t>
  </si>
  <si>
    <t>Parinya​ Wisatchai​</t>
  </si>
  <si>
    <t>ปริญญา วิเศษชัย (ช่างเบีย)</t>
  </si>
  <si>
    <t>091-625-1621</t>
  </si>
  <si>
    <t>Parinya.mec@gmail.com</t>
  </si>
  <si>
    <t>พนักงานเข้าใหม่ และพนักงานที่ต้องการใช้เพิ่มเติม</t>
  </si>
  <si>
    <t>นายสาทิพย์ เกตุแก้ว</t>
  </si>
  <si>
    <t>086-176-3575</t>
  </si>
  <si>
    <t>Project Director - Cluster 2</t>
  </si>
  <si>
    <t>Hatairat Pengkotr</t>
  </si>
  <si>
    <t>นางสาวหทัยรัตน์ เพ็งโคตร</t>
  </si>
  <si>
    <t>087-139-0938</t>
  </si>
  <si>
    <t>สระแก้ว</t>
  </si>
  <si>
    <t>นายจักรพันธ์ ยานิวงค์</t>
  </si>
  <si>
    <t>085-041-4582</t>
  </si>
  <si>
    <t>วิศวกรโยธา</t>
  </si>
  <si>
    <t>รายชื่อผู้ใช้งาน โปนแกรม AEC 6 License</t>
  </si>
  <si>
    <t>เพื่อสนับสนุนการทำงานในวงการนี้โดยเฉพาะ ซึ่งรวมเครื่องมือสำคัญต่างๆ ไว้ด้วยกัน เช่น Autodesk Revit, AutoCAD, และเครื่องมืออื่นๆ ช่วยให้การออกแบบการสร้างแบบจำลอง BIM และการบริหารจัดการโครงการมีประสิทธิภาพมากขึ้น</t>
  </si>
  <si>
    <t>Design Mecfive</t>
  </si>
  <si>
    <t>อุทิศ นาเมือง</t>
  </si>
  <si>
    <t>062-294-5690</t>
  </si>
  <si>
    <t>สถาปนิก (BIM)</t>
  </si>
  <si>
    <t>utit.n@mec-eng.co.th</t>
  </si>
  <si>
    <t>design005.mec@gmail.com</t>
  </si>
  <si>
    <t>Itadmin</t>
  </si>
  <si>
    <t>Design Mecthree</t>
  </si>
  <si>
    <t>ศุภชัย ชิตวงศ์</t>
  </si>
  <si>
    <t>080-923-2749</t>
  </si>
  <si>
    <t>พนักงานเขียนแบบ (BIM)</t>
  </si>
  <si>
    <t>suparchai.c@mec-eng.co.th</t>
  </si>
  <si>
    <t>design3.mec@gmail.com</t>
  </si>
  <si>
    <t>Design Mectwo</t>
  </si>
  <si>
    <t>วรรณา สุวรรณพิงคา</t>
  </si>
  <si>
    <t>088-864-6270</t>
  </si>
  <si>
    <t>wanna.s@mec-eng.co.th</t>
  </si>
  <si>
    <t>Design2.mec@gmail.com</t>
  </si>
  <si>
    <t>Design Six</t>
  </si>
  <si>
    <t>โสภิตา ธรรมนุส</t>
  </si>
  <si>
    <t>063-206-4165</t>
  </si>
  <si>
    <t>Sopita.t@mec-eng.co.th</t>
  </si>
  <si>
    <t>design6.mec@gmail.com</t>
  </si>
  <si>
    <t>Ismail Tayed</t>
  </si>
  <si>
    <t>อีสมาแอล ตาเยะ</t>
  </si>
  <si>
    <t>081-959-6952</t>
  </si>
  <si>
    <t>สถาปนิก</t>
  </si>
  <si>
    <t>ismail.t@mec-eng.co.th</t>
  </si>
  <si>
    <t>Thanyapong Pipattanakosit</t>
  </si>
  <si>
    <t>ธันยพงษ์ พิพัฒนาโฆษิต</t>
  </si>
  <si>
    <t>062-923-9515</t>
  </si>
  <si>
    <t>สถาปนิก (ชำนาญการ)</t>
  </si>
  <si>
    <t>thanyapong.p@mec-eng.co.th</t>
  </si>
  <si>
    <t>design1.mec@gmail.com</t>
  </si>
  <si>
    <t>รายชื่อผู้ใช้งาน โปนแกรม DOC 6 License</t>
  </si>
  <si>
    <t>แพลตฟอร์มจัดการเอกสารบนคลาวด์สำหรับโครงการในอุตสาหกรรมสถาปัตยกรรม วิศวกรรม และการก่อสร้าง (AEC)</t>
  </si>
  <si>
    <t>Design Eight</t>
  </si>
  <si>
    <t>กฤษกร ธีรพันธ์พิชัย</t>
  </si>
  <si>
    <t>วิศวกรออกแบบ</t>
  </si>
  <si>
    <t>Design8.mec@gmail.com</t>
  </si>
  <si>
    <t>Design Eleven</t>
  </si>
  <si>
    <t>ธนันท์รัฐ  แสงชัยฐิติสุข</t>
  </si>
  <si>
    <t>Design11.mec@gmail.com</t>
  </si>
  <si>
    <t>Design Seven</t>
  </si>
  <si>
    <t>ปุณยวีร์ สว่างพันธุ์</t>
  </si>
  <si>
    <t>Design7.mec@gmail.com</t>
  </si>
  <si>
    <t>Design Ten</t>
  </si>
  <si>
    <t>ธีรพิชญ์ เพชรรักษ์</t>
  </si>
  <si>
    <t>Design10.mec@gmail.com</t>
  </si>
  <si>
    <t>Design Twelve</t>
  </si>
  <si>
    <t>ธรรมประดิษฐ์ ดำรงค์สมบัติ</t>
  </si>
  <si>
    <t>Design12.mec@gmail.com</t>
  </si>
  <si>
    <t>Woranan Santvinyoo</t>
  </si>
  <si>
    <t>วรณัน สัณห์วิญญู</t>
  </si>
  <si>
    <t>091-407-1222</t>
  </si>
  <si>
    <t>woranan.s@mec-eng.co.th</t>
  </si>
  <si>
    <t>รายชื่อผู้ใช้งาน โปนแกรม AutoCAD  7 License</t>
  </si>
  <si>
    <t>ตัวเต็ม ฟังก์ชันครบ (2D  + Automation)</t>
  </si>
  <si>
    <t>Arnut Khamnge</t>
  </si>
  <si>
    <t>อาณัติ คำเงิน (พี่ณัฐ)</t>
  </si>
  <si>
    <t>091-072-5489</t>
  </si>
  <si>
    <t>Arnut.k@mec-eng.co.th</t>
  </si>
  <si>
    <t>Decha Chaijunhom</t>
  </si>
  <si>
    <t>เดชา ไชยจันหอม (พี่แซม)</t>
  </si>
  <si>
    <t>093-730-8989</t>
  </si>
  <si>
    <t xml:space="preserve">วิศวกรโครงการก่อสร้าง </t>
  </si>
  <si>
    <t>decha.c@mec-eng.co.th</t>
  </si>
  <si>
    <t>Parata Moonkongsri</t>
  </si>
  <si>
    <t>ภารตะ มูลกองศรี (พี่เบส)</t>
  </si>
  <si>
    <t>098-646-7978</t>
  </si>
  <si>
    <t>parata.m@mec-eng.co.th</t>
  </si>
  <si>
    <t>Phumiphat C</t>
  </si>
  <si>
    <t xml:space="preserve">ภูมิพัฒน์ ชมภูศรีชัยสิน </t>
  </si>
  <si>
    <t>081-945-6664</t>
  </si>
  <si>
    <t>Phumiphat.C@mec-eng.co.th</t>
  </si>
  <si>
    <t>Samart M</t>
  </si>
  <si>
    <t>สามารถ มีรอด (พี่ต๋อย)</t>
  </si>
  <si>
    <t>081-612-2628</t>
  </si>
  <si>
    <t>พนักงานเขียนแบบ (ระบบไฟฟ้า)</t>
  </si>
  <si>
    <t>Samart.m@mec-eng.co.th</t>
  </si>
  <si>
    <t>วรณัน สัณห์วิญญู (พี่มุก)</t>
  </si>
  <si>
    <t>รายชื่อผู้ใช้งาน โปนแกรม BIM Collaborate Pro 5 License</t>
  </si>
  <si>
    <t>ซอฟต์แวร์การทำงานร่วมกันบนคลาวด์จาก Autodesk ที่ช่วยให้ทีมงานออกแบบและก่อสร้าง เช่น สถาปนิก วิศวกร และผู้รับเหมา สามารถทำงานร่วมกันในโมเดล BIM แบบเรียลไทม์ได้โดยไม่ต้องส่งไฟล์ไปมา</t>
  </si>
  <si>
    <t>อุทิศ นาเมือง (พี่อุทิศ)</t>
  </si>
  <si>
    <t>ศุภชัย ชิตวงศ์ (พี่แอม)</t>
  </si>
  <si>
    <t>วรรณา สุวรรณพิงคา (พี่หนูนา)</t>
  </si>
  <si>
    <t>design2.mec@gmail.com</t>
  </si>
  <si>
    <t>โสภิตา ธรรมนุส (พี่นุ่น)</t>
  </si>
  <si>
    <t>ธันยพงษ์ พิพัฒนาโฆษิต (พี่ธี)</t>
  </si>
  <si>
    <t>รายชื่อผู้ใช้งาน โปนแกรม Sketch up PRO 10 License</t>
  </si>
  <si>
    <t>โปรแกรมออกแบบ 3 มิติระดับมืออาชีพที่ใช้สร้างแบบจำลองสำหรับงานด้านสถาปัตยกรรม วิศวกรรม การตกแต่งภายใน และการออกแบบผลิตภัณฑ์</t>
  </si>
  <si>
    <t>ระยะเวลา</t>
  </si>
  <si>
    <t>นายณัฐพงษ์ ปัสสาวัฒนะ</t>
  </si>
  <si>
    <t>โฟร์แมนสำรวจ</t>
  </si>
  <si>
    <t>1 เดือน</t>
  </si>
  <si>
    <t>นายสัจจะ วิรัญจะ</t>
  </si>
  <si>
    <t>วิศวกรไฟฟ้า</t>
  </si>
  <si>
    <t>มีนาคม</t>
  </si>
  <si>
    <t>arnut khamngen</t>
  </si>
  <si>
    <t>เชียงราย</t>
  </si>
  <si>
    <t>Tachit</t>
  </si>
  <si>
    <t>2 อาทิต</t>
  </si>
  <si>
    <t>Parata</t>
  </si>
  <si>
    <t>ถาวร</t>
  </si>
  <si>
    <t>Parinya Wisatchai</t>
  </si>
  <si>
    <t>ปริญญา วิเศษชัย</t>
  </si>
  <si>
    <t>rangson Tancharat</t>
  </si>
  <si>
    <t>รังสรรค์ ตาลจรัส</t>
  </si>
  <si>
    <t>ส่วนวิศวกรรม</t>
  </si>
  <si>
    <t>Thananrath Saengchaititisook</t>
  </si>
  <si>
    <t>จอมทอง</t>
  </si>
  <si>
    <t>Utit namueng</t>
  </si>
  <si>
    <t>รายชื่อผู้ใช้งาน โปนแกรม Midas Gen Plus 2 License</t>
  </si>
  <si>
    <t>ซอฟต์แวร์คอมพิวเตอร์ที่สามารถคำนวณแบบ 3 มิติเพื่อวิเคราะห์และออกแบบโครงสร้างประเภทต่าง ๆ เช่น เหล็ก (STEEL), คอนกรีตเสริมเหล็ก (RC) และเหล็กผสมคอนกรีต (SRC) </t>
  </si>
  <si>
    <t>รายชื่อผู้ใช้งาน โปนแกรม Microsoft Basic 10 License</t>
  </si>
  <si>
    <t>Display name</t>
  </si>
  <si>
    <t>First name</t>
  </si>
  <si>
    <t>Last name</t>
  </si>
  <si>
    <t>โครงการ</t>
  </si>
  <si>
    <t>abc mec</t>
  </si>
  <si>
    <t>abc</t>
  </si>
  <si>
    <t>mec</t>
  </si>
  <si>
    <t>abc@mec-eng.co.th</t>
  </si>
  <si>
    <t>Account meceng</t>
  </si>
  <si>
    <t>Account and Finance</t>
  </si>
  <si>
    <t>meceng</t>
  </si>
  <si>
    <t>mec2@mec-eng.co.th</t>
  </si>
  <si>
    <t>MEC Engineering</t>
  </si>
  <si>
    <t>MEC</t>
  </si>
  <si>
    <t>Engineering</t>
  </si>
  <si>
    <t>mecsince1982@mec-eng.co.th</t>
  </si>
  <si>
    <t>MEC IT</t>
  </si>
  <si>
    <t>it</t>
  </si>
  <si>
    <t>admin</t>
  </si>
  <si>
    <t>itadmin@mec-eng.co.th</t>
  </si>
  <si>
    <t>MEC Ittipol A</t>
  </si>
  <si>
    <t>Ittipol</t>
  </si>
  <si>
    <t>Asarath</t>
  </si>
  <si>
    <t>Ittipol.a@mec-eng.co.th</t>
  </si>
  <si>
    <t>MEC Pracha L</t>
  </si>
  <si>
    <t>Pracha</t>
  </si>
  <si>
    <t>L</t>
  </si>
  <si>
    <t>pracha.l@mec-eng.co.th</t>
  </si>
  <si>
    <t>MEC Preecha N</t>
  </si>
  <si>
    <t>Preecha</t>
  </si>
  <si>
    <t>Ngampunvetchagul</t>
  </si>
  <si>
    <t>preecha.n@mec-eng.co.th</t>
  </si>
  <si>
    <t>QM meceng</t>
  </si>
  <si>
    <t>QM</t>
  </si>
  <si>
    <t>mec4@mec-eng.co.th</t>
  </si>
  <si>
    <t>รายชื่อผู้ใช้งาน โปนแกรม Microsoft Standard 125 License</t>
  </si>
  <si>
    <t>MEC Aiyanat R</t>
  </si>
  <si>
    <t>Rachniyom</t>
  </si>
  <si>
    <t>Aiyanat.r@mec-eng.co.th</t>
  </si>
  <si>
    <t>พนักงานบัญชี (ต้นทุน)</t>
  </si>
  <si>
    <t>MEC Angkana N</t>
  </si>
  <si>
    <t>Nontawong</t>
  </si>
  <si>
    <t>Angkana.n@mec-eng.co.th</t>
  </si>
  <si>
    <t>BE (รายวัน)</t>
  </si>
  <si>
    <t>MEC Anurak J</t>
  </si>
  <si>
    <t>Jaimung</t>
  </si>
  <si>
    <t>Anurak.j@mec-eng.co.th</t>
  </si>
  <si>
    <t>M076</t>
  </si>
  <si>
    <t>MEC Apichat J</t>
  </si>
  <si>
    <t>Jukkrua</t>
  </si>
  <si>
    <t>MEC Apipong P</t>
  </si>
  <si>
    <t>Phatan</t>
  </si>
  <si>
    <t>Apipong.p@mec-eng.co.th</t>
  </si>
  <si>
    <t>พนักงานบัญชี (เจ้าหนี้)</t>
  </si>
  <si>
    <t>MEC Arnut K</t>
  </si>
  <si>
    <t>Khamngen</t>
  </si>
  <si>
    <t>MEC Benjamat</t>
  </si>
  <si>
    <t>Congsri</t>
  </si>
  <si>
    <t>Benjamat.c@mec-eng.co.th</t>
  </si>
  <si>
    <t>พนักงานคลังพัสดุ</t>
  </si>
  <si>
    <t>MEC Bhusayamast N</t>
  </si>
  <si>
    <t>Namkiat</t>
  </si>
  <si>
    <t>bhusayamast.n@mec-eng.co.th</t>
  </si>
  <si>
    <t>พนักงานจัดซื้อ</t>
  </si>
  <si>
    <t>MEC Chaiwat S</t>
  </si>
  <si>
    <t>Sontonglang</t>
  </si>
  <si>
    <t>พนักงานเขียนแบบ</t>
  </si>
  <si>
    <t>MEC Chalita M</t>
  </si>
  <si>
    <t>Montree</t>
  </si>
  <si>
    <t>Chalita.M@mec-eng.co.th</t>
  </si>
  <si>
    <t>เจ้าหน้าที่ความปลอดภัยวิชาชีพ</t>
  </si>
  <si>
    <t>MEC Chirawat C</t>
  </si>
  <si>
    <t>chanklang</t>
  </si>
  <si>
    <t>โฟร์แมนงานระบบเครื่องกล</t>
  </si>
  <si>
    <t>ขอนแก่น (ชุมแพร)</t>
  </si>
  <si>
    <t>MEC Chissanupong K</t>
  </si>
  <si>
    <t>Krueasuk</t>
  </si>
  <si>
    <t>วิศวกรประมาณราคา</t>
  </si>
  <si>
    <t>MEC Damrongkiat J</t>
  </si>
  <si>
    <t>Jeansai</t>
  </si>
  <si>
    <t>Damrongkiat.j@mec-eng.co.th</t>
  </si>
  <si>
    <t>MEC Decha C</t>
  </si>
  <si>
    <t>Chaijunhom</t>
  </si>
  <si>
    <t>MEC Detsakda</t>
  </si>
  <si>
    <t>Moonsan</t>
  </si>
  <si>
    <t>Detsakda.m@mec-eng.co.th</t>
  </si>
  <si>
    <t>พนักงานซ่อมบำรุง</t>
  </si>
  <si>
    <t>MEC Ittidate P</t>
  </si>
  <si>
    <t>Promsa</t>
  </si>
  <si>
    <t>Ittidate.p@mec-eng.co.th</t>
  </si>
  <si>
    <t>MEC Jatupol V</t>
  </si>
  <si>
    <t>Vanichkul</t>
  </si>
  <si>
    <t>jatupol.v@mec-eng.co.th</t>
  </si>
  <si>
    <t>MEC Jerapa P</t>
  </si>
  <si>
    <t>Phonruang</t>
  </si>
  <si>
    <t>Jerapa.p@mec-eng.co.th</t>
  </si>
  <si>
    <t>รายวัน</t>
  </si>
  <si>
    <t>MEC Jiraporn S</t>
  </si>
  <si>
    <t>Sukhgowit</t>
  </si>
  <si>
    <t>Jiraporn.s@mec-eng.co.th</t>
  </si>
  <si>
    <t>พนักงานบัญชี</t>
  </si>
  <si>
    <t>MEC Kanitta S</t>
  </si>
  <si>
    <t>Suwunchatree</t>
  </si>
  <si>
    <t>Kanitta.s@mec-eng.co.th</t>
  </si>
  <si>
    <t>วิศวกรจัดซื้อ</t>
  </si>
  <si>
    <t>MEC Kanjanapha K</t>
  </si>
  <si>
    <t>Kliangklin</t>
  </si>
  <si>
    <t>Kanjanapha.k@mec-eng.co.th</t>
  </si>
  <si>
    <t>MEC Kanok Kunviset</t>
  </si>
  <si>
    <t>Kunviset</t>
  </si>
  <si>
    <t>Kanok.K@mec-eng.co.th</t>
  </si>
  <si>
    <t>MEC Kanokphon K</t>
  </si>
  <si>
    <t>Kenmisri</t>
  </si>
  <si>
    <t>Kanokphon.k@mec-eng.co.th</t>
  </si>
  <si>
    <t>พนักงานอำนวยการโครงการ</t>
  </si>
  <si>
    <t>MEC Kanraya B</t>
  </si>
  <si>
    <t>Bolanmool</t>
  </si>
  <si>
    <t>Kanraya.b@mec-eng.co.th</t>
  </si>
  <si>
    <t>พนักงานการเงิน</t>
  </si>
  <si>
    <t>MEC Kanyapuk K</t>
  </si>
  <si>
    <t>Khotyota</t>
  </si>
  <si>
    <t>Kanyapuk.k@mec-eng.co.th</t>
  </si>
  <si>
    <t>MEC Ketkanok K</t>
  </si>
  <si>
    <t>Kidtoog</t>
  </si>
  <si>
    <t>Ketkanok.k@mec-eng.co.th</t>
  </si>
  <si>
    <t>MEC Khongsak K</t>
  </si>
  <si>
    <t>Kwangsawad</t>
  </si>
  <si>
    <t>Khongsak.k@mec-eng.co.th</t>
  </si>
  <si>
    <t>หัวหน้างานคงคลังและจัดส่ง</t>
  </si>
  <si>
    <t>MEC Kiattisak</t>
  </si>
  <si>
    <t>โฟร์แมนโยธา</t>
  </si>
  <si>
    <t>MEC Kingfai M</t>
  </si>
  <si>
    <t>Mangmoontan</t>
  </si>
  <si>
    <t>Kingfai.M@mec-eng.co.th</t>
  </si>
  <si>
    <t>MEC Kittipong D</t>
  </si>
  <si>
    <t>Dungpraw</t>
  </si>
  <si>
    <t>MEC Korakot W</t>
  </si>
  <si>
    <t>Wattanasatjanukul</t>
  </si>
  <si>
    <t>Korakot.w@mec-eng.co.th</t>
  </si>
  <si>
    <t>MEC Kriangkai C</t>
  </si>
  <si>
    <t>Chamchuen</t>
  </si>
  <si>
    <t>MEC Kritsakorn T</t>
  </si>
  <si>
    <t>Teeraphanphichai</t>
  </si>
  <si>
    <t>MEC Krittapot C</t>
  </si>
  <si>
    <t>Chuaicheewong</t>
  </si>
  <si>
    <t>Krittapot.c@mec-eng.co.th</t>
  </si>
  <si>
    <t>พนักงานทรัพยากรบุคคล - Recruitment</t>
  </si>
  <si>
    <t>MEC Kulthirath P</t>
  </si>
  <si>
    <t>Phattharakulwisut</t>
  </si>
  <si>
    <t>Kulthirath.p@mec-eng.co.th</t>
  </si>
  <si>
    <t>ผู้ตรวจสอบภายใน</t>
  </si>
  <si>
    <t>MEC Manlika M</t>
  </si>
  <si>
    <t>Moonkongsri</t>
  </si>
  <si>
    <t>manlika.m@mec-eng.co.th</t>
  </si>
  <si>
    <t>MEC Marut L</t>
  </si>
  <si>
    <t>Lichanporn</t>
  </si>
  <si>
    <t>Marut.l@mec-eng.co.th</t>
  </si>
  <si>
    <t>ผู้จัดการส่วนการบุคคล</t>
  </si>
  <si>
    <t>MEC Mayuree S</t>
  </si>
  <si>
    <t>Sauy-ngam</t>
  </si>
  <si>
    <t>Mayuree.S@mec-eng.co.th</t>
  </si>
  <si>
    <t>MEC Metawee N</t>
  </si>
  <si>
    <t>Noomak</t>
  </si>
  <si>
    <t>Metawee.n@mec-eng.co.th</t>
  </si>
  <si>
    <t>รักษาการหัวหน้างานความปลอดภัยและอาชีวอนามัย</t>
  </si>
  <si>
    <t>MEC Nakaret K</t>
  </si>
  <si>
    <t>Kumchan</t>
  </si>
  <si>
    <t>MEC Nanthaphon P</t>
  </si>
  <si>
    <t>Phupaengpon</t>
  </si>
  <si>
    <t>Nanthaphon.P@mec-eng.co.th</t>
  </si>
  <si>
    <t>MEC Nareenuch K</t>
  </si>
  <si>
    <t>Kaewchuen</t>
  </si>
  <si>
    <t>Nareenuch.k@mec-eng.co.th</t>
  </si>
  <si>
    <t>MEC Narisara S</t>
  </si>
  <si>
    <t>Saelai</t>
  </si>
  <si>
    <t>Narisara.S@mec-eng.co.th</t>
  </si>
  <si>
    <t>เลย</t>
  </si>
  <si>
    <t>MEC Natapong Muedkuntod</t>
  </si>
  <si>
    <t>Muedkuntod</t>
  </si>
  <si>
    <t>Natapong.m@mec-eng.co.th</t>
  </si>
  <si>
    <t>MEC Nattakorn P</t>
  </si>
  <si>
    <t>Promthong</t>
  </si>
  <si>
    <t>ผู้จัดการโครงการก่อสร้าง</t>
  </si>
  <si>
    <t>MEC Nattaphon  K</t>
  </si>
  <si>
    <t>Khamlue</t>
  </si>
  <si>
    <t>MEC Nattapon B</t>
  </si>
  <si>
    <t>Buaking</t>
  </si>
  <si>
    <t>MEC Nattapong C</t>
  </si>
  <si>
    <t>Chaiwat</t>
  </si>
  <si>
    <t>Nattapong.c@mec-eng.co.th</t>
  </si>
  <si>
    <t>พนักงานทรัพยากรบุคคล -  HR Document Coordinator</t>
  </si>
  <si>
    <t>MEC Nattapong T</t>
  </si>
  <si>
    <t>Thongnoun</t>
  </si>
  <si>
    <t>MEC Nattayaporn C</t>
  </si>
  <si>
    <t>Changphetchpholsureya</t>
  </si>
  <si>
    <t>Nattayaporn.C@mec-eng.co.th</t>
  </si>
  <si>
    <t>พนักงานบัญชี(ทรัพย์สินและGL)</t>
  </si>
  <si>
    <t>MEC Natthaphong P</t>
  </si>
  <si>
    <t>Patsawatthana</t>
  </si>
  <si>
    <t>MEC Nichanan K</t>
  </si>
  <si>
    <t>Kimhin</t>
  </si>
  <si>
    <t>Nichanan.k@mec-eng.co.th</t>
  </si>
  <si>
    <t>วิศวกรสำรวจ</t>
  </si>
  <si>
    <t>MEC Onuma J</t>
  </si>
  <si>
    <t>Jaisue</t>
  </si>
  <si>
    <t>Onuma.j@mec-eng.co.th</t>
  </si>
  <si>
    <t>MEC Pairin P</t>
  </si>
  <si>
    <t>Potisong</t>
  </si>
  <si>
    <t>Pairin.p@mec-eng.co.th</t>
  </si>
  <si>
    <t>พนักงานทรัพยากรบุคคล - Labour Relations</t>
  </si>
  <si>
    <t>MEC Pakkaporn K</t>
  </si>
  <si>
    <t>Kwansuksri</t>
  </si>
  <si>
    <t>pakkaporn.k@mec-eng.co.th</t>
  </si>
  <si>
    <t>ผู้จัดการส่วนจัดซื้อและจัดจ้าง</t>
  </si>
  <si>
    <t>MEC Pakorn T</t>
  </si>
  <si>
    <t>Thongchuen</t>
  </si>
  <si>
    <t>Pakorn.T@mec-eng.co.th</t>
  </si>
  <si>
    <t>MEC Pankeaw W</t>
  </si>
  <si>
    <t>Wongsasom</t>
  </si>
  <si>
    <t>pankeaw.w@mec-eng.co.th</t>
  </si>
  <si>
    <t>MEC Parata M</t>
  </si>
  <si>
    <t>MEC Parichat M</t>
  </si>
  <si>
    <t>Meeta</t>
  </si>
  <si>
    <t>MEC Parinya W</t>
  </si>
  <si>
    <t>Wisatchai</t>
  </si>
  <si>
    <t>Parinya.w@mec-eng.co.th</t>
  </si>
  <si>
    <t>MEC Parit K</t>
  </si>
  <si>
    <t>Kangrombut</t>
  </si>
  <si>
    <t>Parit.K@mec-eng.co.th</t>
  </si>
  <si>
    <t>MEC Passagorn N</t>
  </si>
  <si>
    <t>Noonmun</t>
  </si>
  <si>
    <t>Passagorn.n@mec-eng.co.th</t>
  </si>
  <si>
    <t>MEC Pattama K</t>
  </si>
  <si>
    <t>Keawmui</t>
  </si>
  <si>
    <t>Pattama.k@mec-eng.co.th</t>
  </si>
  <si>
    <t>MEC Peerawut k</t>
  </si>
  <si>
    <t>kaewmanee</t>
  </si>
  <si>
    <t>MEC Penthavee S</t>
  </si>
  <si>
    <t>Sonnang</t>
  </si>
  <si>
    <t>Penthavee.s@mec-eng.co.th</t>
  </si>
  <si>
    <t>MEC Phatthanan T</t>
  </si>
  <si>
    <t>Tophuang</t>
  </si>
  <si>
    <t>MEC Pittaya S</t>
  </si>
  <si>
    <t>Sakthong</t>
  </si>
  <si>
    <t>pittaya.s@mec-eng.co.th</t>
  </si>
  <si>
    <t>วิศวกรประมาณราคา (ระบบเครื่องกล)</t>
  </si>
  <si>
    <t>MEC Piyakorn C</t>
  </si>
  <si>
    <t>Chuthai</t>
  </si>
  <si>
    <t>Piyakorn.c@mec-eng.co.th</t>
  </si>
  <si>
    <t xml:space="preserve">BE </t>
  </si>
  <si>
    <t>MEC Piyapong P</t>
  </si>
  <si>
    <t>Pudpeng</t>
  </si>
  <si>
    <t>Piyapong.p@mec-eng.co.th</t>
  </si>
  <si>
    <t>สระแก้ว (โรงเรียน)</t>
  </si>
  <si>
    <t>MEC Poonkeat S</t>
  </si>
  <si>
    <t>Sutthirug</t>
  </si>
  <si>
    <t>วิศวกรไฟฟ้า(ชำนาญการ)</t>
  </si>
  <si>
    <t>MEC Pornpimon R</t>
  </si>
  <si>
    <t>Rakmueang</t>
  </si>
  <si>
    <t>Pornpimon.r@mec-eng.co.th</t>
  </si>
  <si>
    <t>สโตร์ รายวัน</t>
  </si>
  <si>
    <t>MEC Pracha N</t>
  </si>
  <si>
    <t>Nusunee</t>
  </si>
  <si>
    <t>MEC Prapaporn S</t>
  </si>
  <si>
    <t>Sritho</t>
  </si>
  <si>
    <t>Prapaporn.s@mec-eng.co.th</t>
  </si>
  <si>
    <t>MEC Punyawee S</t>
  </si>
  <si>
    <t>Sawangpunt</t>
  </si>
  <si>
    <t>MEC Ramanee A</t>
  </si>
  <si>
    <t>MEC Rath S</t>
  </si>
  <si>
    <t>Sawangsang</t>
  </si>
  <si>
    <t>rath.s@mec-eng.co.th</t>
  </si>
  <si>
    <t>MEC Samart M</t>
  </si>
  <si>
    <t>Meerod</t>
  </si>
  <si>
    <t>MEC Sansren  W</t>
  </si>
  <si>
    <t>Wongtum</t>
  </si>
  <si>
    <t>MEC Saranya N</t>
  </si>
  <si>
    <t>Nakhum</t>
  </si>
  <si>
    <t>Saranya.n@mec-eng.co.th</t>
  </si>
  <si>
    <t>MEC Sarawut S</t>
  </si>
  <si>
    <t>Sriphet</t>
  </si>
  <si>
    <t>satip.k@mec-eng.co.th</t>
  </si>
  <si>
    <t>MEC Sayamon  J</t>
  </si>
  <si>
    <t>Janyang</t>
  </si>
  <si>
    <t>Sayamon.j@mec-eng.co.th</t>
  </si>
  <si>
    <t>MEC Sirinapa P</t>
  </si>
  <si>
    <t>Pinmuang</t>
  </si>
  <si>
    <t>Sirinapa.P@mec-eng.co.th</t>
  </si>
  <si>
    <t>MEC Sirinat R</t>
  </si>
  <si>
    <t>Rithiprom</t>
  </si>
  <si>
    <t>sirinat.r@mec-eng.co.th</t>
  </si>
  <si>
    <t>MEC Suchart K</t>
  </si>
  <si>
    <t>MEC Suparchai C</t>
  </si>
  <si>
    <t>Chitwong</t>
  </si>
  <si>
    <t>MEC Supatchanikorn A</t>
  </si>
  <si>
    <t>Aueangmane</t>
  </si>
  <si>
    <t>Supatchanikorn.a@mec-eng.co.th</t>
  </si>
  <si>
    <t>G002</t>
  </si>
  <si>
    <t>MEC Sutiwat D</t>
  </si>
  <si>
    <t>D</t>
  </si>
  <si>
    <t>Sutiwat.D@mec-eng.co.th</t>
  </si>
  <si>
    <t>หัวหน้าโฟร์แมนสำรวจ</t>
  </si>
  <si>
    <t>MEC Sutthanom</t>
  </si>
  <si>
    <t>Sutthanom.m@mec-eng.co.th</t>
  </si>
  <si>
    <t>MEC Sutthipong K</t>
  </si>
  <si>
    <t>Kummongkol</t>
  </si>
  <si>
    <t>MEC Suwimon J</t>
  </si>
  <si>
    <t>Jommuangboot</t>
  </si>
  <si>
    <t>suwimon.j@mec-eng.co.th</t>
  </si>
  <si>
    <t xml:space="preserve">เชียงใหม่ </t>
  </si>
  <si>
    <t>MEC Tachit S</t>
  </si>
  <si>
    <t>Songprayud</t>
  </si>
  <si>
    <t>Tachit.S@mec-eng.co.th</t>
  </si>
  <si>
    <t>MEC Tananon M</t>
  </si>
  <si>
    <t>Tananon.M@mec-eng.co.th</t>
  </si>
  <si>
    <t>MA รายวัน</t>
  </si>
  <si>
    <t>MEC Tarika</t>
  </si>
  <si>
    <t>Manmueng</t>
  </si>
  <si>
    <t>Tarika.m@mec-eng.co.th</t>
  </si>
  <si>
    <t>MEC Tawan D</t>
  </si>
  <si>
    <t>Dencheewa</t>
  </si>
  <si>
    <t>Tawan.d@mec-eng.co.th</t>
  </si>
  <si>
    <t>วิศวกรควบคุมต้นทุน</t>
  </si>
  <si>
    <t>MEC Teerapong  T</t>
  </si>
  <si>
    <t>Taprasert</t>
  </si>
  <si>
    <t>MEC Teraphich</t>
  </si>
  <si>
    <t>Phetrak</t>
  </si>
  <si>
    <t>MEC Terdkiet</t>
  </si>
  <si>
    <t>Choopeng</t>
  </si>
  <si>
    <t>MEC Tewara T</t>
  </si>
  <si>
    <t>Tongruang</t>
  </si>
  <si>
    <t>Tewara.t@mec-eng.co.th</t>
  </si>
  <si>
    <t>MEC Thananrath S</t>
  </si>
  <si>
    <t>Saengchaithitisook</t>
  </si>
  <si>
    <t>MEC Thanyapong P</t>
  </si>
  <si>
    <t>Pipattanakosit</t>
  </si>
  <si>
    <t>MEC Thummapradit D</t>
  </si>
  <si>
    <t>Dumrongsombut</t>
  </si>
  <si>
    <t>MEC Tuansuhaimin</t>
  </si>
  <si>
    <t>Tuanputeh</t>
  </si>
  <si>
    <t>MEC Tun J</t>
  </si>
  <si>
    <t>Jungwanitchakun</t>
  </si>
  <si>
    <t>MEC Uthai</t>
  </si>
  <si>
    <t>Saengarun</t>
  </si>
  <si>
    <t>MEC Utit N</t>
  </si>
  <si>
    <t>Namuang</t>
  </si>
  <si>
    <t>MEC Wanna S</t>
  </si>
  <si>
    <t>Suwannaphingkha</t>
  </si>
  <si>
    <t>MEC Wassaris K</t>
  </si>
  <si>
    <t>Kachintorn</t>
  </si>
  <si>
    <t>MEC Watcharapol A</t>
  </si>
  <si>
    <t>Aupajan</t>
  </si>
  <si>
    <t>Watcharapol.a@mec-eng.co.th</t>
  </si>
  <si>
    <t>วิศวกรชำนาญการอาวุโสงานระบบเครื่องกลและไฟฟ้า</t>
  </si>
  <si>
    <t>MEC Watcharee P</t>
  </si>
  <si>
    <t>Pokeaw</t>
  </si>
  <si>
    <t>Watcharee.p@mec-eng.co.th</t>
  </si>
  <si>
    <t>MEC Watcharin T</t>
  </si>
  <si>
    <t>Thamsuan</t>
  </si>
  <si>
    <t>watcharin.t@mec-eng.co.th</t>
  </si>
  <si>
    <t>MEC Wirat N</t>
  </si>
  <si>
    <t>Ninkhan</t>
  </si>
  <si>
    <t>wirat.n@mec-eng.co.th</t>
  </si>
  <si>
    <t>MEC Wiriya S</t>
  </si>
  <si>
    <t>Sukjit</t>
  </si>
  <si>
    <t>Wiriya.s@mec-eng.co.th</t>
  </si>
  <si>
    <t>MEC Witchuda</t>
  </si>
  <si>
    <t>Nasing</t>
  </si>
  <si>
    <t>MEC Woranan S</t>
  </si>
  <si>
    <t>Santvinyoo</t>
  </si>
  <si>
    <t>MEC Worawit B</t>
  </si>
  <si>
    <t>Bunma</t>
  </si>
  <si>
    <t>worawit.b@mec-eng.co.th</t>
  </si>
  <si>
    <t>พนักงานเทคโนโลยีสารสนเทศ</t>
  </si>
  <si>
    <t>MEC Yongyoot T</t>
  </si>
  <si>
    <t>Thathom</t>
  </si>
  <si>
    <t>MEC Yossawadee S</t>
  </si>
  <si>
    <t>Siritannung</t>
  </si>
  <si>
    <t>Yossawadee.S@mec-eng.co.th</t>
  </si>
  <si>
    <t>วิศวกรประมาณราคา (ระบบไฟฟ้า)</t>
  </si>
  <si>
    <t>Rpa</t>
  </si>
  <si>
    <t>RPA</t>
  </si>
  <si>
    <t>Rpa.mec@mec-eng.co.th</t>
  </si>
  <si>
    <t>บอทบัญชี</t>
  </si>
  <si>
    <t>MEC Chanin</t>
  </si>
  <si>
    <t>Laoaroon</t>
  </si>
  <si>
    <t>Chanin.l@mec-eng.co.th</t>
  </si>
  <si>
    <t>MEC Hataurat P</t>
  </si>
  <si>
    <t>Pengkotr</t>
  </si>
  <si>
    <t>Hatairat.p@mec-eng.co.th</t>
  </si>
  <si>
    <t>สระแก้้ว</t>
  </si>
  <si>
    <t>MEC Ismail T</t>
  </si>
  <si>
    <t>Tayeh</t>
  </si>
  <si>
    <t>Ismail.t@mec-eng.co.th</t>
  </si>
  <si>
    <t>รายชื่อผู้ใช้งาน โปนแกรม Microsoft Premium 35 License</t>
  </si>
  <si>
    <t>MEC Chalida M</t>
  </si>
  <si>
    <t>Chalida</t>
  </si>
  <si>
    <t>Maneeyoi</t>
  </si>
  <si>
    <t>chalida.m@mec-eng.co.th</t>
  </si>
  <si>
    <t>พนักงานบริหารคุณภาพ</t>
  </si>
  <si>
    <t>MEC Jaruporn T</t>
  </si>
  <si>
    <t>Jaruporn</t>
  </si>
  <si>
    <t>Tantong</t>
  </si>
  <si>
    <t>Jaruporn.t@mec-eng.co.th</t>
  </si>
  <si>
    <t>MEC Jesada D</t>
  </si>
  <si>
    <t>Jesada</t>
  </si>
  <si>
    <t>Deenang</t>
  </si>
  <si>
    <t>MEC Kunyakorn M</t>
  </si>
  <si>
    <t>Kunyakorn</t>
  </si>
  <si>
    <t>Mongkhol</t>
  </si>
  <si>
    <t>kunyakorn.m@mec-eng.co.th</t>
  </si>
  <si>
    <t>ผู้จัดการส่วนบัญชีและการเงิน</t>
  </si>
  <si>
    <t>MEC Maneekan P</t>
  </si>
  <si>
    <t>Maneekan</t>
  </si>
  <si>
    <t>Poopengjai</t>
  </si>
  <si>
    <t>maneekan.p@mec-eng.co.th</t>
  </si>
  <si>
    <t>พนักงานทรัพยากรบุคคล - System &amp; Payroll</t>
  </si>
  <si>
    <t>MEC Mathulee P</t>
  </si>
  <si>
    <t>Mathulee</t>
  </si>
  <si>
    <t>Phetbunnak</t>
  </si>
  <si>
    <t>mathulee.p@mec-eng.co.th</t>
  </si>
  <si>
    <t>พนักงานทรัพยากรบุคคล - Daily Wage</t>
  </si>
  <si>
    <t>MEC Paiboon S</t>
  </si>
  <si>
    <t>Paiboon</t>
  </si>
  <si>
    <t>Soviraj</t>
  </si>
  <si>
    <t>MEC Parinthon S</t>
  </si>
  <si>
    <t>Parinthon</t>
  </si>
  <si>
    <t>Sirichotamporn</t>
  </si>
  <si>
    <t>MEC Patiwat M</t>
  </si>
  <si>
    <t>Patiwat</t>
  </si>
  <si>
    <t>Meekaeo</t>
  </si>
  <si>
    <t>Patiwat.m@mec-eng.co.th</t>
  </si>
  <si>
    <t>รักษาการผู้จัดการแผนกเทคโนโลยีสารสนเทศ</t>
  </si>
  <si>
    <t>Peerawut</t>
  </si>
  <si>
    <t>Peerawut.k@mec-eng.co.th</t>
  </si>
  <si>
    <t>MEC Phumiphat C</t>
  </si>
  <si>
    <t>Phumiphat</t>
  </si>
  <si>
    <t>Chomphusrichaisin</t>
  </si>
  <si>
    <t>Phumiphat.c@mec-eng.co.th</t>
  </si>
  <si>
    <t>MEC Pimonpat T</t>
  </si>
  <si>
    <t>Pimonpat</t>
  </si>
  <si>
    <t>Techaruangrassamee</t>
  </si>
  <si>
    <t>pimonpat.t@mec-eng.co.th</t>
  </si>
  <si>
    <t>MEC Pongsatorn R</t>
  </si>
  <si>
    <t>Pongsatorn</t>
  </si>
  <si>
    <t>Rattakam</t>
  </si>
  <si>
    <t>pongsatorn.r@mec-eng.co.th</t>
  </si>
  <si>
    <t>ผู้จัดการแผนกแรงงานสัมพันธ์และธุรการ</t>
  </si>
  <si>
    <t>MEC Poomrapee Suramul</t>
  </si>
  <si>
    <t>Poomrapee</t>
  </si>
  <si>
    <t>Suramul</t>
  </si>
  <si>
    <t>วิศวกรสิ่งแวดล้อม</t>
  </si>
  <si>
    <t>MEC Pornpimol</t>
  </si>
  <si>
    <t>Pornpimol</t>
  </si>
  <si>
    <t>Loylom</t>
  </si>
  <si>
    <t>Pornpimol.l@mec-eng.co.th</t>
  </si>
  <si>
    <t>MEC Pornthip D</t>
  </si>
  <si>
    <t>Pornthip</t>
  </si>
  <si>
    <t>Duangtiwong</t>
  </si>
  <si>
    <t>pornthip.d@mec-eng.co.th</t>
  </si>
  <si>
    <t>เจ้าหน้าที่การเงิน</t>
  </si>
  <si>
    <t>MEC Prajak  K</t>
  </si>
  <si>
    <t>Prajak</t>
  </si>
  <si>
    <t>Kraisornkhuthayut</t>
  </si>
  <si>
    <t>MEC Rangson T</t>
  </si>
  <si>
    <t>Rangson</t>
  </si>
  <si>
    <t>Tancharat</t>
  </si>
  <si>
    <t>MEC Ratanawadee T</t>
  </si>
  <si>
    <t>Ratanawadee</t>
  </si>
  <si>
    <t>Thongsuchote</t>
  </si>
  <si>
    <t>ratanawadee.t@mec-eng.co.th</t>
  </si>
  <si>
    <t>ผู้จัดการแผนกปฏิบัติงานบุคคล</t>
  </si>
  <si>
    <t>MEC Ruttapol P</t>
  </si>
  <si>
    <t>Ruttapol</t>
  </si>
  <si>
    <t>Promsungkaha</t>
  </si>
  <si>
    <t>Ruttapol.P@mec-eng.co.th</t>
  </si>
  <si>
    <t>MEC Samana N</t>
  </si>
  <si>
    <t>Samana</t>
  </si>
  <si>
    <t>Na Nakorn</t>
  </si>
  <si>
    <t>MEC Satja  W</t>
  </si>
  <si>
    <t>Satja</t>
  </si>
  <si>
    <t>Wiranja</t>
  </si>
  <si>
    <t>MEC Singha T</t>
  </si>
  <si>
    <t>Singha</t>
  </si>
  <si>
    <t>T</t>
  </si>
  <si>
    <t>วิศวกรอาวุโสระบบเครื่องกลและไฟฟ้า</t>
  </si>
  <si>
    <t>MEC Sopita T</t>
  </si>
  <si>
    <t>Sopita</t>
  </si>
  <si>
    <t>Thammanus</t>
  </si>
  <si>
    <t>MEC Sumida T</t>
  </si>
  <si>
    <t>Sumida</t>
  </si>
  <si>
    <t>Tharapattraporn</t>
  </si>
  <si>
    <t>sumida.t@mec-eng.co.th</t>
  </si>
  <si>
    <t>พนักงานทรัพยากรบุคคล - Development</t>
  </si>
  <si>
    <t>MEC Sumrit S</t>
  </si>
  <si>
    <t>Sumrit</t>
  </si>
  <si>
    <t>Sookcharoen</t>
  </si>
  <si>
    <t>MEC Supachai Saneekarn</t>
  </si>
  <si>
    <t>Supachai</t>
  </si>
  <si>
    <t>Saneekarn</t>
  </si>
  <si>
    <t>MEC Teerachai M</t>
  </si>
  <si>
    <t>Teerachai</t>
  </si>
  <si>
    <t>Maibunkaew</t>
  </si>
  <si>
    <t xml:space="preserve">รักษาการผู้จัดการส่วนวิศวกรรม </t>
  </si>
  <si>
    <t>MEC Wipatcharapa Wimoniasinlapin</t>
  </si>
  <si>
    <t>Wipatcharapa</t>
  </si>
  <si>
    <t>Wimoniasinlapin</t>
  </si>
  <si>
    <t>Wipatcharapa.w@mec-eng.co.th</t>
  </si>
  <si>
    <t>MEC Yinglak P</t>
  </si>
  <si>
    <t>Yinglak</t>
  </si>
  <si>
    <t>Piamprida</t>
  </si>
  <si>
    <t>Yinglak.p@mec-eng.co.th</t>
  </si>
  <si>
    <t>MEC Yosapat A</t>
  </si>
  <si>
    <t>Yosapat</t>
  </si>
  <si>
    <t>Yosapat.a@mec-eng.co.th</t>
  </si>
  <si>
    <t>ผู้อำนวยการฝ่ายบริหาร</t>
  </si>
  <si>
    <t>รายชื่อผู้ใช้งาน โปนแกรม Microsoft Project Plan 3 2License</t>
  </si>
  <si>
    <t>Decha</t>
  </si>
  <si>
    <t>Parichat</t>
  </si>
  <si>
    <t>รายการคุณสมบัติ</t>
  </si>
  <si>
    <t>Business Basic</t>
  </si>
  <si>
    <t>Business Standard</t>
  </si>
  <si>
    <t>Business Premium</t>
  </si>
  <si>
    <t>ราคา (ต่อผู้ใช้/เดือน)</t>
  </si>
  <si>
    <t>1,000 (รายปี)</t>
  </si>
  <si>
    <t>3,000 (รายปี)</t>
  </si>
  <si>
    <t>6,900 (รายปี)</t>
  </si>
  <si>
    <t>จำนวนผู้ใช้สูงสุด</t>
  </si>
  <si>
    <t>แอป Office</t>
  </si>
  <si>
    <t>เวอร์ชันเว็บและมือถือ</t>
  </si>
  <si>
    <t>เวอร์ชันเดสก์ท็อป + เว็บ + มือถือ</t>
  </si>
  <si>
    <t>Outlook (อีเมล)</t>
  </si>
  <si>
    <t>✔️ (Exchange Plan 1)</t>
  </si>
  <si>
    <t>พื้นที่จัดเก็บ OneDrive</t>
  </si>
  <si>
    <t>1 TB ต่อผู้ใช้</t>
  </si>
  <si>
    <t>Teams (แชท/ประชุม)</t>
  </si>
  <si>
    <t>✔️</t>
  </si>
  <si>
    <t>SharePoint</t>
  </si>
  <si>
    <t>Bookings (นัดหมาย)</t>
  </si>
  <si>
    <t>❌</t>
  </si>
  <si>
    <t>Microsoft Access (เฉพาะ PC)</t>
  </si>
  <si>
    <t>Microsoft Intune (จัดการอุปกรณ์)</t>
  </si>
  <si>
    <t>Microsoft Defender for Business</t>
  </si>
  <si>
    <t>Azure AD Premium P1 (SSO, MFA)</t>
  </si>
  <si>
    <t>Data Loss Prevention (DLP)</t>
  </si>
  <si>
    <t>Windows 11 Pro Upgrade</t>
  </si>
  <si>
    <t xml:space="preserve"> โปนแกรม Bit defender 80 License</t>
  </si>
  <si>
    <t>จำนวนที่ติดตั้ง</t>
  </si>
  <si>
    <t>License</t>
  </si>
  <si>
    <t>โปนแกรม Morphisec  80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</si>
</sst>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฿&quot;* #,##0.00_-;\-&quot;฿&quot;* #,##0.00_-;_-&quot;฿&quot;* &quot;-&quot;??_-;_-@_-"/>
    <numFmt numFmtId="187" formatCode="&quot;฿&quot;#,##0"/>
  </numFmts>
  <fonts count="32" x14ac:knownFonts="1">
    <font>
      <sz val="11"/>
      <color theme="1"/>
      <name val="Tahoma"/>
      <family val="2"/>
      <charset val="222"/>
      <scheme val="minor"/>
    </font>
    <font>
      <sz val="18"/>
      <color theme="1"/>
      <name val="Angsana New"/>
      <family val="1"/>
    </font>
    <font>
      <u/>
      <sz val="11"/>
      <color theme="10"/>
      <name val="Tahoma"/>
      <family val="2"/>
      <charset val="222"/>
      <scheme val="minor"/>
    </font>
    <font>
      <sz val="18"/>
      <color rgb="FFFF0000"/>
      <name val="Angsana New"/>
      <family val="1"/>
    </font>
    <font>
      <sz val="18"/>
      <name val="Angsana New"/>
      <family val="1"/>
    </font>
    <font>
      <u/>
      <sz val="18"/>
      <color theme="10"/>
      <name val="Angsana New"/>
      <family val="1"/>
    </font>
    <font>
      <sz val="11"/>
      <color theme="1"/>
      <name val="Tahoma"/>
      <family val="2"/>
      <charset val="222"/>
      <scheme val="minor"/>
    </font>
    <font>
      <sz val="18"/>
      <color theme="1"/>
      <name val="Cordia New"/>
      <family val="2"/>
    </font>
    <font>
      <b/>
      <sz val="18"/>
      <color rgb="FFFFFFFF"/>
      <name val="Cordia New"/>
      <family val="2"/>
    </font>
    <font>
      <sz val="18"/>
      <name val="Cordia New"/>
      <family val="2"/>
    </font>
    <font>
      <b/>
      <sz val="18"/>
      <color rgb="FFFFFFFF"/>
      <name val="Angsana New"/>
      <family val="1"/>
    </font>
    <font>
      <sz val="18"/>
      <color rgb="FF000000"/>
      <name val="Angsana New"/>
      <family val="1"/>
    </font>
    <font>
      <sz val="18"/>
      <color rgb="FF212121"/>
      <name val="Angsana New"/>
      <family val="1"/>
    </font>
    <font>
      <sz val="18"/>
      <color rgb="FF363545"/>
      <name val="Angsana New"/>
      <family val="1"/>
    </font>
    <font>
      <b/>
      <sz val="18"/>
      <color theme="0"/>
      <name val="Angsana New"/>
      <family val="1"/>
    </font>
    <font>
      <sz val="12"/>
      <color rgb="FFEEF0FF"/>
      <name val="Arial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FF0000"/>
      <name val="Tahoma"/>
      <family val="2"/>
    </font>
    <font>
      <sz val="11"/>
      <color theme="10"/>
      <name val="Tahoma"/>
      <family val="2"/>
      <charset val="222"/>
      <scheme val="minor"/>
    </font>
    <font>
      <sz val="14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8"/>
      <color theme="4" tint="-0.249977111117893"/>
      <name val="Cordia New"/>
      <family val="2"/>
    </font>
    <font>
      <sz val="11"/>
      <color rgb="FF000000"/>
      <name val="Tahoma"/>
      <family val="2"/>
      <charset val="222"/>
    </font>
    <font>
      <b/>
      <sz val="18"/>
      <color rgb="FF000000"/>
      <name val="Angsana New"/>
      <family val="1"/>
    </font>
    <font>
      <sz val="18"/>
      <color theme="10"/>
      <name val="Angsana New"/>
      <family val="1"/>
    </font>
    <font>
      <sz val="8"/>
      <name val="Tahoma"/>
      <family val="2"/>
      <charset val="222"/>
      <scheme val="minor"/>
    </font>
    <font>
      <strike/>
      <sz val="16"/>
      <color theme="1"/>
      <name val="Angsana New"/>
      <family val="1"/>
    </font>
    <font>
      <strike/>
      <sz val="16"/>
      <color rgb="FF000000"/>
      <name val="Angsana New"/>
      <family val="1"/>
    </font>
    <font>
      <sz val="11"/>
      <color rgb="FF000000"/>
      <name val="Tahoma"/>
      <family val="2"/>
      <charset val="222"/>
      <scheme val="minor"/>
    </font>
    <font>
      <sz val="18"/>
      <color theme="10"/>
      <name val="Cordia New"/>
      <family val="2"/>
    </font>
    <font>
      <sz val="18"/>
      <color theme="1"/>
      <name val="Cordia New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4472C4"/>
      </patternFill>
    </fill>
    <fill>
      <patternFill patternType="solid">
        <fgColor rgb="FFCAEDFB"/>
        <bgColor rgb="FFCAEDFB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7" tint="0.39997558519241921"/>
      </left>
      <right/>
      <top/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 style="thin">
        <color theme="7" tint="0.39997558519241921"/>
      </right>
      <top/>
      <bottom style="thin">
        <color theme="7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14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7" fillId="0" borderId="0" xfId="0" applyFont="1"/>
    <xf numFmtId="0" fontId="8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44" fontId="8" fillId="3" borderId="0" xfId="2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/>
    <xf numFmtId="44" fontId="10" fillId="3" borderId="0" xfId="2" applyFont="1" applyFill="1" applyAlignment="1">
      <alignment horizontal="center"/>
    </xf>
    <xf numFmtId="0" fontId="1" fillId="0" borderId="0" xfId="2" applyNumberFormat="1" applyFont="1" applyAlignment="1">
      <alignment horizontal="center" vertical="center"/>
    </xf>
    <xf numFmtId="44" fontId="1" fillId="0" borderId="0" xfId="2" applyFont="1"/>
    <xf numFmtId="44" fontId="5" fillId="0" borderId="0" xfId="1" applyNumberFormat="1" applyFont="1"/>
    <xf numFmtId="0" fontId="11" fillId="0" borderId="10" xfId="0" applyFont="1" applyBorder="1"/>
    <xf numFmtId="0" fontId="12" fillId="0" borderId="0" xfId="0" applyFont="1"/>
    <xf numFmtId="44" fontId="10" fillId="3" borderId="0" xfId="2" applyFont="1" applyFill="1" applyAlignment="1">
      <alignment horizontal="center" vertical="center"/>
    </xf>
    <xf numFmtId="44" fontId="10" fillId="3" borderId="0" xfId="2" applyFont="1" applyFill="1" applyAlignment="1">
      <alignment horizontal="left" vertical="center"/>
    </xf>
    <xf numFmtId="0" fontId="13" fillId="0" borderId="0" xfId="0" applyFont="1"/>
    <xf numFmtId="0" fontId="13" fillId="4" borderId="9" xfId="0" applyFont="1" applyFill="1" applyBorder="1"/>
    <xf numFmtId="0" fontId="1" fillId="0" borderId="0" xfId="0" applyFont="1" applyAlignment="1">
      <alignment horizontal="left"/>
    </xf>
    <xf numFmtId="44" fontId="10" fillId="7" borderId="9" xfId="2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4" fontId="10" fillId="7" borderId="13" xfId="2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4" fontId="10" fillId="7" borderId="12" xfId="2" applyFont="1" applyFill="1" applyBorder="1" applyAlignment="1">
      <alignment horizontal="center" vertical="center"/>
    </xf>
    <xf numFmtId="44" fontId="1" fillId="0" borderId="0" xfId="0" applyNumberFormat="1" applyFont="1" applyAlignment="1">
      <alignment vertical="center"/>
    </xf>
    <xf numFmtId="187" fontId="1" fillId="0" borderId="0" xfId="0" applyNumberFormat="1" applyFont="1"/>
    <xf numFmtId="0" fontId="15" fillId="0" borderId="0" xfId="0" applyFont="1"/>
    <xf numFmtId="0" fontId="19" fillId="0" borderId="0" xfId="1" applyFont="1" applyAlignment="1">
      <alignment horizontal="left" vertical="center"/>
    </xf>
    <xf numFmtId="0" fontId="20" fillId="0" borderId="17" xfId="0" applyFont="1" applyBorder="1"/>
    <xf numFmtId="0" fontId="20" fillId="0" borderId="17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vertical="center"/>
    </xf>
    <xf numFmtId="0" fontId="1" fillId="4" borderId="19" xfId="0" applyFont="1" applyFill="1" applyBorder="1" applyAlignment="1">
      <alignment vertical="center"/>
    </xf>
    <xf numFmtId="0" fontId="25" fillId="0" borderId="0" xfId="1" applyFont="1"/>
    <xf numFmtId="44" fontId="25" fillId="0" borderId="0" xfId="1" applyNumberFormat="1" applyFont="1"/>
    <xf numFmtId="44" fontId="25" fillId="0" borderId="0" xfId="1" applyNumberFormat="1" applyFont="1" applyAlignment="1">
      <alignment horizontal="left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7" fillId="0" borderId="9" xfId="0" applyFont="1" applyBorder="1" applyAlignment="1">
      <alignment vertical="center"/>
    </xf>
    <xf numFmtId="0" fontId="17" fillId="4" borderId="9" xfId="0" applyFont="1" applyFill="1" applyBorder="1" applyAlignment="1">
      <alignment vertical="center"/>
    </xf>
    <xf numFmtId="0" fontId="1" fillId="9" borderId="1" xfId="0" applyFont="1" applyFill="1" applyBorder="1"/>
    <xf numFmtId="0" fontId="1" fillId="9" borderId="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7" xfId="0" applyFont="1" applyFill="1" applyBorder="1"/>
    <xf numFmtId="0" fontId="1" fillId="10" borderId="8" xfId="0" applyFont="1" applyFill="1" applyBorder="1"/>
    <xf numFmtId="0" fontId="1" fillId="10" borderId="3" xfId="0" applyFont="1" applyFill="1" applyBorder="1" applyAlignment="1">
      <alignment horizontal="center" vertical="center"/>
    </xf>
    <xf numFmtId="15" fontId="1" fillId="10" borderId="3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87" fontId="0" fillId="10" borderId="1" xfId="0" applyNumberFormat="1" applyFill="1" applyBorder="1"/>
    <xf numFmtId="0" fontId="1" fillId="10" borderId="5" xfId="0" applyFont="1" applyFill="1" applyBorder="1"/>
    <xf numFmtId="0" fontId="1" fillId="10" borderId="6" xfId="0" applyFont="1" applyFill="1" applyBorder="1"/>
    <xf numFmtId="0" fontId="1" fillId="10" borderId="5" xfId="0" applyFont="1" applyFill="1" applyBorder="1" applyAlignment="1">
      <alignment horizontal="center" vertical="center"/>
    </xf>
    <xf numFmtId="15" fontId="1" fillId="10" borderId="5" xfId="0" applyNumberFormat="1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5" xfId="0" applyFont="1" applyBorder="1" applyAlignment="1">
      <alignment horizontal="center" vertical="center"/>
    </xf>
    <xf numFmtId="15" fontId="1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7" fontId="0" fillId="0" borderId="1" xfId="0" applyNumberFormat="1" applyBorder="1"/>
    <xf numFmtId="0" fontId="11" fillId="0" borderId="6" xfId="0" applyFont="1" applyBorder="1"/>
    <xf numFmtId="0" fontId="11" fillId="0" borderId="5" xfId="0" applyFont="1" applyBorder="1" applyAlignment="1">
      <alignment horizontal="center" vertical="center"/>
    </xf>
    <xf numFmtId="15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7" fontId="29" fillId="0" borderId="1" xfId="0" applyNumberFormat="1" applyFont="1" applyBorder="1"/>
    <xf numFmtId="0" fontId="1" fillId="9" borderId="0" xfId="0" applyFont="1" applyFill="1" applyAlignment="1">
      <alignment horizontal="center" vertical="center"/>
    </xf>
    <xf numFmtId="187" fontId="0" fillId="10" borderId="17" xfId="0" applyNumberFormat="1" applyFill="1" applyBorder="1"/>
    <xf numFmtId="187" fontId="0" fillId="10" borderId="14" xfId="0" applyNumberFormat="1" applyFill="1" applyBorder="1"/>
    <xf numFmtId="187" fontId="0" fillId="0" borderId="14" xfId="0" applyNumberFormat="1" applyBorder="1"/>
    <xf numFmtId="187" fontId="29" fillId="0" borderId="14" xfId="0" applyNumberFormat="1" applyFont="1" applyBorder="1"/>
    <xf numFmtId="0" fontId="2" fillId="0" borderId="0" xfId="1" applyAlignment="1">
      <alignment horizontal="left" vertical="center"/>
    </xf>
    <xf numFmtId="0" fontId="9" fillId="0" borderId="0" xfId="0" applyFont="1" applyAlignment="1">
      <alignment wrapText="1"/>
    </xf>
    <xf numFmtId="0" fontId="30" fillId="0" borderId="0" xfId="1" applyFont="1" applyAlignment="1">
      <alignment horizontal="left" vertic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wrapText="1"/>
    </xf>
    <xf numFmtId="0" fontId="22" fillId="11" borderId="20" xfId="0" applyFont="1" applyFill="1" applyBorder="1"/>
    <xf numFmtId="44" fontId="1" fillId="0" borderId="0" xfId="2" applyFont="1" applyAlignment="1">
      <alignment wrapText="1"/>
    </xf>
    <xf numFmtId="0" fontId="1" fillId="0" borderId="0" xfId="0" applyFont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2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8" borderId="0" xfId="0" applyFont="1" applyFill="1" applyAlignment="1">
      <alignment vertical="center"/>
    </xf>
    <xf numFmtId="0" fontId="2" fillId="0" borderId="0" xfId="1" applyAlignment="1">
      <alignment vertical="center"/>
    </xf>
    <xf numFmtId="0" fontId="29" fillId="0" borderId="0" xfId="1" applyFont="1" applyAlignment="1">
      <alignment vertical="center"/>
    </xf>
    <xf numFmtId="44" fontId="29" fillId="0" borderId="0" xfId="1" applyNumberFormat="1" applyFont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44" fontId="3" fillId="0" borderId="0" xfId="2" applyFont="1"/>
    <xf numFmtId="44" fontId="3" fillId="0" borderId="0" xfId="1" applyNumberFormat="1" applyFont="1" applyAlignment="1">
      <alignment horizontal="left"/>
    </xf>
    <xf numFmtId="0" fontId="1" fillId="10" borderId="21" xfId="0" applyFont="1" applyFill="1" applyBorder="1"/>
    <xf numFmtId="0" fontId="1" fillId="10" borderId="22" xfId="0" applyFont="1" applyFill="1" applyBorder="1"/>
    <xf numFmtId="0" fontId="1" fillId="10" borderId="21" xfId="0" applyFont="1" applyFill="1" applyBorder="1" applyAlignment="1">
      <alignment horizontal="center" vertical="center"/>
    </xf>
    <xf numFmtId="15" fontId="1" fillId="10" borderId="21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187" fontId="0" fillId="10" borderId="2" xfId="0" applyNumberFormat="1" applyFill="1" applyBorder="1"/>
    <xf numFmtId="187" fontId="0" fillId="10" borderId="4" xfId="0" applyNumberFormat="1" applyFill="1" applyBorder="1"/>
    <xf numFmtId="187" fontId="0" fillId="10" borderId="23" xfId="0" applyNumberFormat="1" applyFill="1" applyBorder="1"/>
    <xf numFmtId="0" fontId="1" fillId="0" borderId="1" xfId="0" applyFont="1" applyBorder="1"/>
    <xf numFmtId="15" fontId="1" fillId="10" borderId="1" xfId="0" applyNumberFormat="1" applyFont="1" applyFill="1" applyBorder="1" applyAlignment="1">
      <alignment horizontal="center" vertical="center"/>
    </xf>
    <xf numFmtId="187" fontId="1" fillId="0" borderId="1" xfId="0" applyNumberFormat="1" applyFont="1" applyBorder="1"/>
    <xf numFmtId="0" fontId="11" fillId="0" borderId="0" xfId="0" applyFont="1"/>
    <xf numFmtId="0" fontId="17" fillId="0" borderId="14" xfId="0" applyFont="1" applyBorder="1" applyAlignment="1">
      <alignment horizontal="center" wrapText="1"/>
    </xf>
    <xf numFmtId="0" fontId="17" fillId="0" borderId="15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8" fillId="0" borderId="15" xfId="0" applyFont="1" applyBorder="1" applyAlignment="1">
      <alignment horizontal="center" wrapText="1"/>
    </xf>
    <xf numFmtId="0" fontId="17" fillId="0" borderId="16" xfId="0" applyFont="1" applyBorder="1" applyAlignment="1">
      <alignment horizontal="center" wrapText="1"/>
    </xf>
    <xf numFmtId="0" fontId="1" fillId="5" borderId="0" xfId="0" applyFont="1" applyFill="1" applyAlignment="1">
      <alignment horizontal="center"/>
    </xf>
    <xf numFmtId="0" fontId="16" fillId="0" borderId="14" xfId="0" applyFont="1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17" fillId="0" borderId="17" xfId="0" applyFont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7" fillId="2" borderId="0" xfId="0" applyFont="1" applyFill="1" applyAlignment="1">
      <alignment horizontal="center"/>
    </xf>
    <xf numFmtId="0" fontId="16" fillId="0" borderId="17" xfId="0" applyFont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1" fillId="0" borderId="14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16" xfId="0" applyFont="1" applyBorder="1" applyAlignment="1">
      <alignment horizontal="center" wrapText="1"/>
    </xf>
    <xf numFmtId="0" fontId="24" fillId="0" borderId="14" xfId="0" applyFont="1" applyBorder="1" applyAlignment="1">
      <alignment horizontal="center" wrapText="1"/>
    </xf>
    <xf numFmtId="0" fontId="24" fillId="0" borderId="15" xfId="0" applyFont="1" applyBorder="1" applyAlignment="1">
      <alignment horizontal="center" wrapText="1"/>
    </xf>
    <xf numFmtId="0" fontId="24" fillId="0" borderId="16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1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6"/>
        <name val="Angsana New"/>
        <family val="1"/>
        <scheme val="none"/>
      </font>
      <alignment vertical="center"/>
    </dxf>
    <dxf>
      <font>
        <strike val="0"/>
        <outline val="0"/>
        <shadow val="0"/>
        <u val="none"/>
        <vertAlign val="baseline"/>
        <sz val="16"/>
        <name val="Angsana New"/>
        <family val="1"/>
        <scheme val="none"/>
      </font>
      <alignment vertical="center"/>
    </dxf>
    <dxf>
      <font>
        <strike val="0"/>
        <outline val="0"/>
        <shadow val="0"/>
        <u val="none"/>
        <vertAlign val="baseline"/>
        <sz val="16"/>
        <name val="Angsana New"/>
        <family val="1"/>
        <scheme val="none"/>
      </font>
      <alignment vertical="center"/>
    </dxf>
    <dxf>
      <font>
        <strike val="0"/>
        <outline val="0"/>
        <shadow val="0"/>
        <u val="none"/>
        <vertAlign val="baseline"/>
        <sz val="16"/>
        <name val="Angsana New"/>
        <family val="1"/>
        <scheme val="none"/>
      </font>
      <alignment vertical="center"/>
    </dxf>
    <dxf>
      <font>
        <strike val="0"/>
        <outline val="0"/>
        <shadow val="0"/>
        <u val="none"/>
        <vertAlign val="baseline"/>
        <sz val="16"/>
        <name val="Angsana New"/>
        <family val="1"/>
        <scheme val="none"/>
      </font>
      <alignment vertical="center"/>
    </dxf>
    <dxf>
      <font>
        <strike val="0"/>
        <outline val="0"/>
        <shadow val="0"/>
        <u val="none"/>
        <vertAlign val="baseline"/>
        <sz val="16"/>
        <name val="Angsana New"/>
        <family val="1"/>
        <scheme val="none"/>
      </font>
      <alignment vertical="center"/>
    </dxf>
    <dxf>
      <font>
        <strike val="0"/>
        <outline val="0"/>
        <shadow val="0"/>
        <u val="none"/>
        <vertAlign val="baseline"/>
        <sz val="16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7" tint="0.39997558519241921"/>
        </top>
      </border>
    </dxf>
    <dxf>
      <font>
        <strike val="0"/>
        <outline val="0"/>
        <shadow val="0"/>
        <u val="none"/>
        <vertAlign val="baseline"/>
        <sz val="16"/>
        <name val="Angsana New"/>
        <family val="1"/>
        <scheme val="none"/>
      </font>
      <alignment vertical="center"/>
    </dxf>
    <dxf>
      <border outline="0"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 New"/>
        <family val="1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theme="7" tint="0.39997558519241921"/>
        </top>
      </border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</dxf>
    <dxf>
      <border outline="0"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 New"/>
        <family val="1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  <numFmt numFmtId="34" formatCode="_-&quot;฿&quot;* #,##0.00_-;\-&quot;฿&quot;* #,##0.00_-;_-&quot;฿&quot;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  <numFmt numFmtId="34" formatCode="_-&quot;฿&quot;* #,##0.00_-;\-&quot;฿&quot;* #,##0.00_-;_-&quot;฿&quot;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Angsana New"/>
        <family val="1"/>
        <scheme val="none"/>
      </font>
      <numFmt numFmtId="34" formatCode="_-&quot;฿&quot;* #,##0.00_-;\-&quot;฿&quot;* #,##0.00_-;_-&quot;฿&quot;* &quot;-&quot;??_-;_-@_-"/>
      <fill>
        <patternFill patternType="solid">
          <fgColor rgb="FF4472C4"/>
          <bgColor rgb="FF0070C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Angsana New"/>
        <family val="1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Angsana New"/>
        <family val="1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Angsana New"/>
        <family val="1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Angsana New"/>
        <family val="1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Angsana New"/>
        <family val="1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Angsana New"/>
        <family val="1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Cordia New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Cordia New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Cordia New"/>
        <family val="2"/>
        <scheme val="none"/>
      </font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ordia Ne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Cordia New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Angsana New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FFFFFF"/>
        <name val="Cordia New"/>
        <family val="2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556403</xdr:colOff>
      <xdr:row>0</xdr:row>
      <xdr:rowOff>0</xdr:rowOff>
    </xdr:from>
    <xdr:to>
      <xdr:col>5</xdr:col>
      <xdr:colOff>898788</xdr:colOff>
      <xdr:row>1</xdr:row>
      <xdr:rowOff>9525</xdr:rowOff>
    </xdr:to>
    <xdr:pic>
      <xdr:nvPicPr>
        <xdr:cNvPr id="3" name="Picture 2" descr="Download Free Adobe acrobat pro Icons in PNG &amp; SVG">
          <a:extLst>
            <a:ext uri="{FF2B5EF4-FFF2-40B4-BE49-F238E27FC236}">
              <a16:creationId xmlns:a16="http://schemas.microsoft.com/office/drawing/2014/main" id="{E1AEE289-A996-918D-B52C-1BE36AAF2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9815" y="0"/>
          <a:ext cx="342385" cy="345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1132487</xdr:colOff>
      <xdr:row>0</xdr:row>
      <xdr:rowOff>26783</xdr:rowOff>
    </xdr:from>
    <xdr:to>
      <xdr:col>6</xdr:col>
      <xdr:colOff>293490</xdr:colOff>
      <xdr:row>0</xdr:row>
      <xdr:rowOff>320386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6A47BB-11B3-828A-4F7D-E64AACB78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3873" y="26783"/>
          <a:ext cx="293490" cy="2936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1132487</xdr:colOff>
      <xdr:row>0</xdr:row>
      <xdr:rowOff>26783</xdr:rowOff>
    </xdr:from>
    <xdr:to>
      <xdr:col>5</xdr:col>
      <xdr:colOff>1425977</xdr:colOff>
      <xdr:row>0</xdr:row>
      <xdr:rowOff>320386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FE79495-408D-4AC8-9DA8-9AE02566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1925" y="26783"/>
          <a:ext cx="293490" cy="2936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995530</xdr:colOff>
      <xdr:row>16</xdr:row>
      <xdr:rowOff>16569</xdr:rowOff>
    </xdr:from>
    <xdr:to>
      <xdr:col>5</xdr:col>
      <xdr:colOff>1254672</xdr:colOff>
      <xdr:row>16</xdr:row>
      <xdr:rowOff>277065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6774E3-CAA2-40C0-8D06-CB099369A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7496" y="3366741"/>
          <a:ext cx="259142" cy="260496"/>
        </a:xfrm>
        <a:prstGeom prst="rect">
          <a:avLst/>
        </a:prstGeom>
      </xdr:spPr>
    </xdr:pic>
    <xdr:clientData/>
  </xdr:twoCellAnchor>
  <xdr:twoCellAnchor editAs="oneCell">
    <xdr:from>
      <xdr:col>5</xdr:col>
      <xdr:colOff>1003311</xdr:colOff>
      <xdr:row>0</xdr:row>
      <xdr:rowOff>18723</xdr:rowOff>
    </xdr:from>
    <xdr:to>
      <xdr:col>5</xdr:col>
      <xdr:colOff>1267053</xdr:colOff>
      <xdr:row>0</xdr:row>
      <xdr:rowOff>282465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2A180E5-4039-760E-4202-2A0E3DFB4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5277" y="18723"/>
          <a:ext cx="263742" cy="2637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1365536</xdr:colOff>
      <xdr:row>17</xdr:row>
      <xdr:rowOff>28675</xdr:rowOff>
    </xdr:from>
    <xdr:to>
      <xdr:col>5</xdr:col>
      <xdr:colOff>1645203</xdr:colOff>
      <xdr:row>17</xdr:row>
      <xdr:rowOff>309498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CECD99-8AB3-8A99-EB0B-F23CD16A3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1574" y="3736098"/>
          <a:ext cx="279667" cy="280823"/>
        </a:xfrm>
        <a:prstGeom prst="rect">
          <a:avLst/>
        </a:prstGeom>
      </xdr:spPr>
    </xdr:pic>
    <xdr:clientData/>
  </xdr:twoCellAnchor>
  <xdr:twoCellAnchor editAs="oneCell">
    <xdr:from>
      <xdr:col>5</xdr:col>
      <xdr:colOff>1078422</xdr:colOff>
      <xdr:row>0</xdr:row>
      <xdr:rowOff>12409</xdr:rowOff>
    </xdr:from>
    <xdr:to>
      <xdr:col>5</xdr:col>
      <xdr:colOff>1366346</xdr:colOff>
      <xdr:row>0</xdr:row>
      <xdr:rowOff>301259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BD30FA-3358-B761-4FAE-4973E9BC8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2439" y="12409"/>
          <a:ext cx="287924" cy="288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1115486</xdr:colOff>
      <xdr:row>20</xdr:row>
      <xdr:rowOff>14947</xdr:rowOff>
    </xdr:from>
    <xdr:to>
      <xdr:col>5</xdr:col>
      <xdr:colOff>1387929</xdr:colOff>
      <xdr:row>20</xdr:row>
      <xdr:rowOff>287268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DF626A-F5E2-C82C-6CBE-86E700BAB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000" y="4663147"/>
          <a:ext cx="272443" cy="272321"/>
        </a:xfrm>
        <a:prstGeom prst="rect">
          <a:avLst/>
        </a:prstGeom>
      </xdr:spPr>
    </xdr:pic>
    <xdr:clientData/>
  </xdr:twoCellAnchor>
  <xdr:twoCellAnchor editAs="oneCell">
    <xdr:from>
      <xdr:col>5</xdr:col>
      <xdr:colOff>1150732</xdr:colOff>
      <xdr:row>0</xdr:row>
      <xdr:rowOff>12747</xdr:rowOff>
    </xdr:from>
    <xdr:to>
      <xdr:col>5</xdr:col>
      <xdr:colOff>1423737</xdr:colOff>
      <xdr:row>0</xdr:row>
      <xdr:rowOff>288033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DA57D4-3E8A-65D0-155D-60B463909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5087" y="12747"/>
          <a:ext cx="273005" cy="2752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1</xdr:row>
      <xdr:rowOff>57150</xdr:rowOff>
    </xdr:from>
    <xdr:to>
      <xdr:col>8</xdr:col>
      <xdr:colOff>657694</xdr:colOff>
      <xdr:row>2</xdr:row>
      <xdr:rowOff>9685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104144-5902-AFB3-AD5D-1108A7D26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0" y="409575"/>
          <a:ext cx="3362794" cy="114316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8</xdr:row>
      <xdr:rowOff>47625</xdr:rowOff>
    </xdr:from>
    <xdr:to>
      <xdr:col>8</xdr:col>
      <xdr:colOff>581026</xdr:colOff>
      <xdr:row>8</xdr:row>
      <xdr:rowOff>1123950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05A6CF-956D-3E07-0785-EED6BB8FD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1300" y="2124075"/>
          <a:ext cx="3286126" cy="1076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94AE6D-A373-4ADB-9713-D8759B7FFE7C}" name="Table8" displayName="Table8" ref="A3:I13" totalsRowShown="0" headerRowDxfId="167">
  <autoFilter ref="A3:I13" xr:uid="{0594AE6D-A373-4ADB-9713-D8759B7FFE7C}"/>
  <tableColumns count="9">
    <tableColumn id="1" xr3:uid="{C19664A9-E67C-4FAA-A825-F1EB64BD5AB9}" name="ลำดับ" dataDxfId="166"/>
    <tableColumn id="2" xr3:uid="{A8C77D84-5870-4B3F-B83D-5512909BF4A4}" name="Assigned users" dataDxfId="165"/>
    <tableColumn id="3" xr3:uid="{92FD53D4-3C14-4E1D-A4B8-2C4295E1EF4C}" name="ชื่อ-นามสกุล" dataDxfId="164"/>
    <tableColumn id="4" xr3:uid="{1933D6C2-0702-455A-9842-C7F539D5C40D}" name="เบอร์" dataDxfId="163"/>
    <tableColumn id="5" xr3:uid="{6BC36FBF-2F56-48E5-994E-85C6F290624D}" name="ตำแหน่ง" dataDxfId="162"/>
    <tableColumn id="6" xr3:uid="{64163AF9-4E6F-412B-ADE1-92F8BC03CC79}" name="Email" dataDxfId="161"/>
    <tableColumn id="7" xr3:uid="{65611825-1F68-44B4-9C29-8D737B719291}" name="account" dataDxfId="160"/>
    <tableColumn id="8" xr3:uid="{1EC01ABB-43A0-4E1E-850A-BEF737DF0731}" name="Remarks" dataDxfId="159"/>
    <tableColumn id="9" xr3:uid="{20E6EFF4-146F-44D9-B08C-1C03283203AA}" name="สำนักงาน/โครงการ" dataDxfId="15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512F02-15A9-4393-B257-22D6853F5F6D}" name="Table1" displayName="Table1" ref="A3:I46" totalsRowShown="0" headerRowDxfId="157" dataDxfId="156">
  <autoFilter ref="A3:I46" xr:uid="{A6512F02-15A9-4393-B257-22D6853F5F6D}"/>
  <tableColumns count="9">
    <tableColumn id="1" xr3:uid="{0BA19B3F-BE16-402C-93A2-FF2000940799}" name="ลำดับ" dataDxfId="155"/>
    <tableColumn id="2" xr3:uid="{A4ABEF4A-836F-4F03-9468-37C82BC70E4F}" name="Assigned users" dataDxfId="154"/>
    <tableColumn id="3" xr3:uid="{0241BD02-C0D7-44AB-A3D3-649522E8744A}" name="ชื่อ-นามสกุล" dataDxfId="153"/>
    <tableColumn id="4" xr3:uid="{041773E5-28A1-46FF-9D7E-112A573425ED}" name="เบอร์" dataDxfId="152"/>
    <tableColumn id="5" xr3:uid="{DB338116-11E3-4166-A9B5-36DAB12BF913}" name="ฝ่าย" dataDxfId="151"/>
    <tableColumn id="6" xr3:uid="{3C1BDC10-CC41-4B64-B59A-99E67A1E6F99}" name="Email" dataDxfId="150"/>
    <tableColumn id="7" xr3:uid="{A4EF4A97-8F04-4355-804D-EEBE4CE3D5F0}" name="account" dataDxfId="149"/>
    <tableColumn id="8" xr3:uid="{D01C5D33-CE97-4276-8C6D-16F97C77810D}" name="Remarks" dataDxfId="148"/>
    <tableColumn id="9" xr3:uid="{0C065A27-FF6C-4982-9680-6F3FC0A06C2D}" name="สำนักงาน/โครงการ" dataDxfId="14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4F43EC-AD99-4E81-8F0E-21FED240E0FF}" name="Table2" displayName="Table2" ref="A49:I69" totalsRowShown="0" headerRowDxfId="146" dataDxfId="145">
  <autoFilter ref="A49:I69" xr:uid="{BF4F43EC-AD99-4E81-8F0E-21FED240E0FF}"/>
  <tableColumns count="9">
    <tableColumn id="1" xr3:uid="{947DCCA4-4F15-42D5-9379-5E315949C99A}" name="ลำดับ" dataDxfId="144"/>
    <tableColumn id="2" xr3:uid="{4F618DC5-6ADA-4FFD-9428-8014E9F657DE}" name="Assigned users" dataDxfId="143"/>
    <tableColumn id="3" xr3:uid="{C74F6655-31C9-4C6E-95A5-6A768E4FD0B2}" name="ชื่อ-นามสกุล" dataDxfId="142"/>
    <tableColumn id="4" xr3:uid="{66D20E01-67A8-4325-B2FD-14328784995F}" name="เบอร์" dataDxfId="141"/>
    <tableColumn id="5" xr3:uid="{03DF95BD-F28E-4085-AC7F-ABE2A0C76416}" name="ฝ่าย" dataDxfId="140"/>
    <tableColumn id="6" xr3:uid="{B6D28F2E-D084-43BD-A30B-396EEB709B50}" name="Email" dataDxfId="139"/>
    <tableColumn id="7" xr3:uid="{91EA0331-2E4A-4FD3-8E39-45AC4D4BD663}" name="account" dataDxfId="138"/>
    <tableColumn id="8" xr3:uid="{B45DB6FE-EFD4-457D-9D8F-082A08E1DA60}" name="Remarks" dataDxfId="137"/>
    <tableColumn id="9" xr3:uid="{718FEDEC-0C9A-4D57-A63E-67E33641C12E}" name="สำนักงาน/โครงการ" dataDxfId="136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F1D5A7-3394-4CF7-A244-C74DAB7C0EB2}" name="Table17" displayName="Table17" ref="A3:I64" totalsRowShown="0" headerRowDxfId="135" dataDxfId="134">
  <autoFilter ref="A3:I64" xr:uid="{C7F1D5A7-3394-4CF7-A244-C74DAB7C0EB2}"/>
  <tableColumns count="9">
    <tableColumn id="1" xr3:uid="{7326614E-15BA-4B22-912F-25A240C7A23F}" name="ลำดับ" dataDxfId="133"/>
    <tableColumn id="2" xr3:uid="{8612DA3E-637D-44D8-8584-74ABD434F96C}" name="Assigned users" dataDxfId="132"/>
    <tableColumn id="3" xr3:uid="{F2D94ED4-E9D4-49D7-9A47-250A3604AD5C}" name="ชื่อ-นามสกุล" dataDxfId="131"/>
    <tableColumn id="4" xr3:uid="{0C461587-5047-40FA-8839-E755738AE6CE}" name="เบอร์" dataDxfId="130"/>
    <tableColumn id="5" xr3:uid="{6E3B3C38-52B8-4F63-99A9-8428CEEFB41B}" name="ฝ่าย" dataDxfId="129"/>
    <tableColumn id="6" xr3:uid="{45890E47-FB2B-401F-A58F-5A25F99DC018}" name="Email" dataDxfId="128"/>
    <tableColumn id="7" xr3:uid="{1927085B-68BE-4354-BEC4-B7C5E9D094CD}" name="account" dataDxfId="127"/>
    <tableColumn id="8" xr3:uid="{D543AD3C-84D0-4972-AC0C-745E23656331}" name="Remarks" dataDxfId="126"/>
    <tableColumn id="9" xr3:uid="{3E4C9CBB-8F64-47A5-9C44-C87F7601E39F}" name="สำนักงาน/โครงการ" dataDxfId="125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5BDE46-19E0-4942-A79E-2BBE7681AB4D}" name="Table5" displayName="Table5" ref="A3:I9" totalsRowShown="0" headerRowDxfId="124" dataDxfId="123">
  <autoFilter ref="A3:I9" xr:uid="{C15BDE46-19E0-4942-A79E-2BBE7681AB4D}"/>
  <tableColumns count="9">
    <tableColumn id="1" xr3:uid="{A81E0BE4-0FE6-4546-BF2F-46D5FFF41BDF}" name="ลำดับ" dataDxfId="122"/>
    <tableColumn id="2" xr3:uid="{4CC12E41-A536-4B6D-A711-626127D20FCF}" name="Assigned users" dataDxfId="121"/>
    <tableColumn id="3" xr3:uid="{885577D9-0F86-4622-9A38-59FC6A957EC2}" name="ชื่อ-นามสกุล" dataDxfId="120"/>
    <tableColumn id="4" xr3:uid="{6F1DDFC4-D964-4401-9855-68A4D43E72A3}" name="เบอร์" dataDxfId="119"/>
    <tableColumn id="5" xr3:uid="{D9E88242-32F7-41A3-AFF6-9AC991E6D86A}" name="ฝ่าย" dataDxfId="118"/>
    <tableColumn id="6" xr3:uid="{FB9B95BD-CDA5-4BE9-8C65-FE7AC41B3296}" name="Email" dataDxfId="117"/>
    <tableColumn id="7" xr3:uid="{89F927F8-381A-4A7F-ADFC-1EF9A19BFDB5}" name="account" dataDxfId="116"/>
    <tableColumn id="8" xr3:uid="{6EC5F2BA-27E2-4FB4-A8BF-630EC8B64F13}" name="Remarks" dataDxfId="115"/>
    <tableColumn id="9" xr3:uid="{EA544C8B-4A34-41E1-9147-E10C7073C7B2}" name="สำนักงาน/โครงการ" dataDxfId="114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2479E0-EFA2-4601-A953-9E34A0DEC82E}" name="Table58" displayName="Table58" ref="A19:I25" totalsRowShown="0" headerRowDxfId="113" dataDxfId="112">
  <autoFilter ref="A19:I25" xr:uid="{642479E0-EFA2-4601-A953-9E34A0DEC82E}"/>
  <tableColumns count="9">
    <tableColumn id="1" xr3:uid="{AFF25284-9130-4692-B8B4-9E5D893DA657}" name="ลำดับ" dataDxfId="111"/>
    <tableColumn id="2" xr3:uid="{C419CD90-0E1C-4417-A2E2-4B5BF6B3B6F5}" name="Assigned users" dataDxfId="110"/>
    <tableColumn id="3" xr3:uid="{C0302CC7-9033-4923-AE5E-6D9FF45940A2}" name="ชื่อ-นามสกุล" dataDxfId="109"/>
    <tableColumn id="4" xr3:uid="{52DC7219-01DE-4446-BB70-95482631A214}" name="เบอร์" dataDxfId="108"/>
    <tableColumn id="5" xr3:uid="{495ED5EB-4430-43B4-BB6E-D3EC47324D0F}" name="ฝ่าย" dataDxfId="107"/>
    <tableColumn id="6" xr3:uid="{3C93DE50-BE6B-4975-8421-34C1F7C92F60}" name="Email" dataDxfId="106"/>
    <tableColumn id="7" xr3:uid="{C7991523-136F-437E-BD59-38C2C0629C62}" name="account" dataDxfId="105"/>
    <tableColumn id="8" xr3:uid="{BDB7AEE5-F68F-4C8A-8489-C0ADA4F0BB50}" name="Remarks" dataDxfId="104"/>
    <tableColumn id="9" xr3:uid="{9FA2858D-6347-4B47-81BB-A133993A73CC}" name="สำนักงาน/โครงการ" dataDxfId="103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067F19-2C8A-423A-9AE4-B5B6B77B5FF8}" name="Table3" displayName="Table3" ref="A3:I10" totalsRowShown="0" headerRowDxfId="102" dataDxfId="101">
  <autoFilter ref="A3:I10" xr:uid="{2D067F19-2C8A-423A-9AE4-B5B6B77B5FF8}"/>
  <tableColumns count="9">
    <tableColumn id="1" xr3:uid="{E257FC2C-5033-454D-A1CA-EFA6DD0D55DD}" name="ลำดับ" dataDxfId="100"/>
    <tableColumn id="2" xr3:uid="{C327F645-0E07-4706-94FA-8E4E7A28D12B}" name="Assigned users" dataDxfId="99"/>
    <tableColumn id="3" xr3:uid="{8375CD8C-0C61-4B74-A4F1-7B87EC5A6A9B}" name="ชื่อ-นามสกุล" dataDxfId="98"/>
    <tableColumn id="4" xr3:uid="{166C5948-D8F9-4765-9D43-B777A6ABED25}" name="เบอร์" dataDxfId="97"/>
    <tableColumn id="5" xr3:uid="{3BCEFD6A-57A8-4F8E-9A14-8227CBA049DF}" name="ตำแหน่ง" dataDxfId="96"/>
    <tableColumn id="6" xr3:uid="{3E743DD2-32BF-4AB6-9783-FB189F6D5C6E}" name="Email" dataDxfId="95"/>
    <tableColumn id="7" xr3:uid="{B5B56587-9B6E-4DE0-B718-ECC3CDE622C7}" name="account" dataDxfId="94"/>
    <tableColumn id="8" xr3:uid="{313533F2-159C-4696-AB6B-E7952B0E0DBE}" name="Remarks" dataDxfId="93"/>
    <tableColumn id="9" xr3:uid="{3E9EA3AB-3296-4DFC-AD4B-BBC3FE438AD0}" name="สำนักงาน/โครงการ" dataDxfId="92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7779FF-5CFD-43AB-B6B4-9D59687CCDD6}" name="Table35" displayName="Table35" ref="A20:I25" totalsRowShown="0" headerRowDxfId="91" dataDxfId="90">
  <autoFilter ref="A20:I25" xr:uid="{747779FF-5CFD-43AB-B6B4-9D59687CCDD6}"/>
  <tableColumns count="9">
    <tableColumn id="1" xr3:uid="{0898978A-9955-4818-A034-E4626BD75FC8}" name="ลำดับ" dataDxfId="89"/>
    <tableColumn id="2" xr3:uid="{23B359F9-D3EE-42F3-9E3D-78B4B2232147}" name="Assigned users" dataDxfId="88"/>
    <tableColumn id="3" xr3:uid="{BB651001-7F1F-4363-96C6-7BFCA0217B3E}" name="ชื่อ-นามสกุล" dataDxfId="87"/>
    <tableColumn id="4" xr3:uid="{76D19960-5A18-403E-A96E-9E480D7BACC1}" name="เบอร์" dataDxfId="86"/>
    <tableColumn id="5" xr3:uid="{A1DEB83C-E6F6-4C39-A5C7-74A1DE5065D5}" name="ตำแหน่ง" dataDxfId="85"/>
    <tableColumn id="6" xr3:uid="{3C748424-F99F-4DB2-94CF-642BD0F76E82}" name="Email" dataDxfId="84"/>
    <tableColumn id="7" xr3:uid="{E3E5BF05-AC31-439B-958E-E0FA95C499E5}" name="account" dataDxfId="83"/>
    <tableColumn id="8" xr3:uid="{617AD179-231E-4A4E-823B-3AB071C4C992}" name="Remarks" dataDxfId="82"/>
    <tableColumn id="9" xr3:uid="{B493A9C9-2FA9-4D6B-803D-2DE60DF0F4FD}" name="สำนักงาน/โครงการ" dataDxfId="81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444F67-79A9-477A-B4A0-D2F73818F02F}" name="Table5810" displayName="Table5810" ref="A3:I13" totalsRowShown="0" headerRowDxfId="80" dataDxfId="79">
  <autoFilter ref="A3:I13" xr:uid="{32444F67-79A9-477A-B4A0-D2F73818F02F}"/>
  <tableColumns count="9">
    <tableColumn id="1" xr3:uid="{196B1642-1CA2-4705-B0F6-84EA6DF47BDE}" name="ลำดับ" dataDxfId="78"/>
    <tableColumn id="2" xr3:uid="{0038D340-9363-4E4E-9799-A42BA8341585}" name="Assigned users" dataDxfId="77"/>
    <tableColumn id="3" xr3:uid="{C317A563-9884-460C-88A9-D0101B630648}" name="ชื่อ-นามสกุล" dataDxfId="76"/>
    <tableColumn id="4" xr3:uid="{B8B505D3-FE17-47B6-ABE2-1A634CFDCF84}" name="เบอร์" dataDxfId="75"/>
    <tableColumn id="5" xr3:uid="{B0828553-8EFB-4E48-88FC-0D3B26E4CA78}" name="ฝ่าย" dataDxfId="74"/>
    <tableColumn id="6" xr3:uid="{35D3B5B5-C91B-43D9-9775-9688BC1CAAF1}" name="Email" dataDxfId="73"/>
    <tableColumn id="7" xr3:uid="{B670D0EF-B0C5-4051-84D9-F54B08EBDCA8}" name="account" dataDxfId="72"/>
    <tableColumn id="9" xr3:uid="{F098E2E4-B414-47D2-A81F-F92CCB8DCE6D}" name="สำนักงาน/โครงการ" dataDxfId="71"/>
    <tableColumn id="8" xr3:uid="{354389F1-8A21-4A0B-B48C-84C8E9FCFF94}" name="ระยะเวลา" dataDxfId="70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97A03B-5B2D-4907-9A0C-CDE47A24830C}" name="Table10" displayName="Table10" ref="A23:H25" totalsRowShown="0" headerRowDxfId="69" dataDxfId="68">
  <autoFilter ref="A23:H25" xr:uid="{D297A03B-5B2D-4907-9A0C-CDE47A24830C}"/>
  <tableColumns count="8">
    <tableColumn id="1" xr3:uid="{D976ECFA-C9B7-4C05-8E09-B6A5C61B6D72}" name="ลำดับ" dataDxfId="67"/>
    <tableColumn id="2" xr3:uid="{76DF1288-D097-4F18-A3F2-868A4037DC46}" name="Assigned users" dataDxfId="66"/>
    <tableColumn id="3" xr3:uid="{EDA7231F-1ED8-4DBB-B90D-A772671AB5EF}" name="ชื่อ-นามสกุล" dataDxfId="65"/>
    <tableColumn id="4" xr3:uid="{86C26928-DF49-48F6-BA49-CA323AE5D148}" name="เบอร์" dataDxfId="64"/>
    <tableColumn id="5" xr3:uid="{0C2C979B-7CA1-4986-8CE0-F0CC737E52ED}" name="ฝ่าย" dataDxfId="63"/>
    <tableColumn id="6" xr3:uid="{805381D5-7469-419F-96BD-89B3E1D3AB4E}" name="Email" dataDxfId="62"/>
    <tableColumn id="7" xr3:uid="{DF67D9A3-9350-4CF0-BE2D-116FBD6ED07A}" name="account" dataDxfId="61"/>
    <tableColumn id="8" xr3:uid="{FCD44F28-CDDB-447C-A767-A2F55668D50E}" name="สำนักงาน/โครงการ" dataDxfId="60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B476492-EDE4-4D1C-9E31-19D4722E1325}" name="Table12" displayName="Table12" ref="A2:G12" totalsRowShown="0" headerRowDxfId="59" dataDxfId="58">
  <autoFilter ref="A2:G12" xr:uid="{FB476492-EDE4-4D1C-9E31-19D4722E1325}"/>
  <tableColumns count="7">
    <tableColumn id="1" xr3:uid="{91AF9472-8A7E-4469-9C35-CFB5897921B8}" name="ลำดับ" dataDxfId="57"/>
    <tableColumn id="2" xr3:uid="{7F22C8DC-B295-4617-8476-3E0780195C0C}" name="Display name" dataDxfId="56"/>
    <tableColumn id="4" xr3:uid="{F587B72E-9657-4B9D-8D17-3D0DC2B321C0}" name="First name" dataDxfId="55"/>
    <tableColumn id="5" xr3:uid="{9C968E76-18FB-4DD9-BFC4-D641DE4E494F}" name="Last name" dataDxfId="54"/>
    <tableColumn id="7" xr3:uid="{C2872184-0E78-46E3-A1EE-B78877717EAF}" name="Email" dataDxfId="53"/>
    <tableColumn id="8" xr3:uid="{4895F92D-E825-4381-A0C0-1A98E8D0747B}" name="ฝ่าย" dataDxfId="52"/>
    <tableColumn id="3" xr3:uid="{98A635CC-A7CD-442D-8464-CCE2DD765FA3}" name="โครงการ" dataDxfId="51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8AF8C32-D0A3-4EE5-8583-5C28A4671CA5}" name="Table14" displayName="Table14" ref="A2:G127" totalsRowShown="0" headerRowDxfId="50" dataDxfId="48" headerRowBorderDxfId="49" tableBorderDxfId="47">
  <autoFilter ref="A2:G127" xr:uid="{A8AF8C32-D0A3-4EE5-8583-5C28A4671CA5}"/>
  <tableColumns count="7">
    <tableColumn id="1" xr3:uid="{F670CB4F-1887-40C5-9172-795BC3133A52}" name="ลำดับ" dataDxfId="46"/>
    <tableColumn id="2" xr3:uid="{0C3E4764-F2A0-4FD7-94DB-A1D4B2FF2F03}" name="Display name" dataDxfId="45"/>
    <tableColumn id="3" xr3:uid="{6A464CA0-3FB4-4FD1-BC08-F07D70954657}" name="First name" dataDxfId="44">
      <calculatedColumnFormula array="1">INDEX(_xlfn.TEXTSPLIT(Table14[[#This Row],[Display name]], " "), 2)</calculatedColumnFormula>
    </tableColumn>
    <tableColumn id="4" xr3:uid="{1731F650-C383-4747-95CD-16CBB0EA6ED5}" name="Last name" dataDxfId="43"/>
    <tableColumn id="5" xr3:uid="{8F61BD17-4EB4-4055-BC69-2901D823F817}" name="Email" dataDxfId="42"/>
    <tableColumn id="6" xr3:uid="{94C00D79-00FA-4A3E-B620-E2409DE06289}" name="ฝ่าย" dataDxfId="41"/>
    <tableColumn id="7" xr3:uid="{18E945CA-6B14-41B5-818F-9041BDEA49D7}" name="โครงการ" dataDxfId="40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3B9F38B-F4E0-4972-AAEF-21ED20AD8912}" name="Table13" displayName="Table13" ref="A2:G37" totalsRowShown="0" headerRowDxfId="39" dataDxfId="37" headerRowBorderDxfId="38" tableBorderDxfId="36">
  <autoFilter ref="A2:G37" xr:uid="{A3B9F38B-F4E0-4972-AAEF-21ED20AD8912}"/>
  <tableColumns count="7">
    <tableColumn id="1" xr3:uid="{A86B2EF1-559E-4600-A280-871578C048A3}" name="ลำดับ" dataDxfId="35"/>
    <tableColumn id="2" xr3:uid="{F39F7FCF-0AEA-4AE9-91CF-5A659150C372}" name="Display name" dataDxfId="34"/>
    <tableColumn id="3" xr3:uid="{D0F714F8-6426-45E6-8B44-BC5FB87F8C3B}" name="First name" dataDxfId="33"/>
    <tableColumn id="4" xr3:uid="{9F5F270E-4489-405C-BEB2-6FE1CC81F899}" name="Last name" dataDxfId="32"/>
    <tableColumn id="5" xr3:uid="{EC0D9DEC-184C-4AF9-A4AE-BA49F8E7E3BC}" name="Email" dataDxfId="31"/>
    <tableColumn id="6" xr3:uid="{C31C604E-73D5-4879-8528-EF4491BDF6A6}" name="ฝ่าย" dataDxfId="30"/>
    <tableColumn id="7" xr3:uid="{CA115F5D-C6D2-4E14-ABC7-7D388DE8E252}" name="โครงการ" dataDxfId="29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Pimonpat.t@mec-eng.co.th" TargetMode="External"/><Relationship Id="rId1" Type="http://schemas.openxmlformats.org/officeDocument/2006/relationships/hyperlink" Target="mailto:Pimonpat.t@mec-eng.co.th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un.j@mec-eng.co.th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suchart.k@mec-eng.co.th" TargetMode="External"/><Relationship Id="rId1" Type="http://schemas.openxmlformats.org/officeDocument/2006/relationships/hyperlink" Target="mailto:suchart.k@mec-eng.co.th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2.xml"/><Relationship Id="rId4" Type="http://schemas.openxmlformats.org/officeDocument/2006/relationships/hyperlink" Target="mailto:Apichat.j@mec-eng.co.th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pichat.j@mec-eng.co.th" TargetMode="External"/><Relationship Id="rId2" Type="http://schemas.openxmlformats.org/officeDocument/2006/relationships/hyperlink" Target="mailto:suchart.k@mec-eng.co.th" TargetMode="External"/><Relationship Id="rId1" Type="http://schemas.openxmlformats.org/officeDocument/2006/relationships/hyperlink" Target="mailto:suchart.k@mec-eng.co.th" TargetMode="External"/><Relationship Id="rId6" Type="http://schemas.openxmlformats.org/officeDocument/2006/relationships/table" Target="../tables/table4.xml"/><Relationship Id="rId5" Type="http://schemas.openxmlformats.org/officeDocument/2006/relationships/drawing" Target="../drawings/drawing3.xml"/><Relationship Id="rId4" Type="http://schemas.openxmlformats.org/officeDocument/2006/relationships/hyperlink" Target="mailto:Tun.j@mec-eng.co.th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Design2.mec@gmail.com" TargetMode="External"/><Relationship Id="rId13" Type="http://schemas.openxmlformats.org/officeDocument/2006/relationships/hyperlink" Target="mailto:Design11.mec@gmail.com" TargetMode="External"/><Relationship Id="rId18" Type="http://schemas.openxmlformats.org/officeDocument/2006/relationships/drawing" Target="../drawings/drawing4.xml"/><Relationship Id="rId3" Type="http://schemas.openxmlformats.org/officeDocument/2006/relationships/hyperlink" Target="mailto:suparchai.c@mec-eng.co.th" TargetMode="External"/><Relationship Id="rId7" Type="http://schemas.openxmlformats.org/officeDocument/2006/relationships/hyperlink" Target="mailto:wanna.s@mec-eng.co.th" TargetMode="External"/><Relationship Id="rId12" Type="http://schemas.openxmlformats.org/officeDocument/2006/relationships/hyperlink" Target="mailto:Design8.mec@gmail.com" TargetMode="External"/><Relationship Id="rId17" Type="http://schemas.openxmlformats.org/officeDocument/2006/relationships/hyperlink" Target="mailto:thananrath.s@mec-eng.co.th" TargetMode="External"/><Relationship Id="rId2" Type="http://schemas.openxmlformats.org/officeDocument/2006/relationships/hyperlink" Target="mailto:utit.n@mec-eng.co.th" TargetMode="External"/><Relationship Id="rId16" Type="http://schemas.openxmlformats.org/officeDocument/2006/relationships/hyperlink" Target="mailto:Design12.mec@gmail.com" TargetMode="External"/><Relationship Id="rId20" Type="http://schemas.openxmlformats.org/officeDocument/2006/relationships/table" Target="../tables/table6.xml"/><Relationship Id="rId1" Type="http://schemas.openxmlformats.org/officeDocument/2006/relationships/hyperlink" Target="mailto:design005.mec@gmail.com" TargetMode="External"/><Relationship Id="rId6" Type="http://schemas.openxmlformats.org/officeDocument/2006/relationships/hyperlink" Target="mailto:design6.mec@gmail.com" TargetMode="External"/><Relationship Id="rId11" Type="http://schemas.openxmlformats.org/officeDocument/2006/relationships/hyperlink" Target="mailto:kritsakorn.t@mec-eng.co.th" TargetMode="External"/><Relationship Id="rId5" Type="http://schemas.openxmlformats.org/officeDocument/2006/relationships/hyperlink" Target="mailto:Sopita.t@mec-eng.co.th" TargetMode="External"/><Relationship Id="rId15" Type="http://schemas.openxmlformats.org/officeDocument/2006/relationships/hyperlink" Target="mailto:Design10.mec@gmail.com" TargetMode="External"/><Relationship Id="rId10" Type="http://schemas.openxmlformats.org/officeDocument/2006/relationships/hyperlink" Target="mailto:ismail.t@mec-eng.co.th" TargetMode="External"/><Relationship Id="rId19" Type="http://schemas.openxmlformats.org/officeDocument/2006/relationships/table" Target="../tables/table5.xml"/><Relationship Id="rId4" Type="http://schemas.openxmlformats.org/officeDocument/2006/relationships/hyperlink" Target="mailto:design3.mec@gmail.com" TargetMode="External"/><Relationship Id="rId9" Type="http://schemas.openxmlformats.org/officeDocument/2006/relationships/hyperlink" Target="mailto:ismail.t@mec-eng.co.th" TargetMode="External"/><Relationship Id="rId14" Type="http://schemas.openxmlformats.org/officeDocument/2006/relationships/hyperlink" Target="mailto:Design7.mec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humiphat.C@mec-eng.co.th" TargetMode="External"/><Relationship Id="rId13" Type="http://schemas.openxmlformats.org/officeDocument/2006/relationships/hyperlink" Target="mailto:suparchai.c@mec-eng.co.th" TargetMode="External"/><Relationship Id="rId18" Type="http://schemas.openxmlformats.org/officeDocument/2006/relationships/hyperlink" Target="mailto:design3.mec@gmail.com" TargetMode="External"/><Relationship Id="rId3" Type="http://schemas.openxmlformats.org/officeDocument/2006/relationships/hyperlink" Target="mailto:decha.c@mec-eng.co.th" TargetMode="External"/><Relationship Id="rId21" Type="http://schemas.openxmlformats.org/officeDocument/2006/relationships/hyperlink" Target="mailto:utit.n@mec-eng.co.th" TargetMode="External"/><Relationship Id="rId7" Type="http://schemas.openxmlformats.org/officeDocument/2006/relationships/hyperlink" Target="mailto:Phumiphat.C@mec-eng.co.th" TargetMode="External"/><Relationship Id="rId12" Type="http://schemas.openxmlformats.org/officeDocument/2006/relationships/hyperlink" Target="mailto:woranan.s@mec-eng.co.th" TargetMode="External"/><Relationship Id="rId17" Type="http://schemas.openxmlformats.org/officeDocument/2006/relationships/hyperlink" Target="mailto:design005.mec@gmail.com" TargetMode="External"/><Relationship Id="rId25" Type="http://schemas.openxmlformats.org/officeDocument/2006/relationships/table" Target="../tables/table8.xml"/><Relationship Id="rId2" Type="http://schemas.openxmlformats.org/officeDocument/2006/relationships/hyperlink" Target="mailto:Arnut.k@mec-eng.co.th" TargetMode="External"/><Relationship Id="rId16" Type="http://schemas.openxmlformats.org/officeDocument/2006/relationships/hyperlink" Target="mailto:Sopita.t@mec-eng.co.th" TargetMode="External"/><Relationship Id="rId20" Type="http://schemas.openxmlformats.org/officeDocument/2006/relationships/hyperlink" Target="mailto:design6.mec@gmail.com" TargetMode="External"/><Relationship Id="rId1" Type="http://schemas.openxmlformats.org/officeDocument/2006/relationships/hyperlink" Target="mailto:Arnut.k@mec-eng.co.th" TargetMode="External"/><Relationship Id="rId6" Type="http://schemas.openxmlformats.org/officeDocument/2006/relationships/hyperlink" Target="mailto:parata.m@mec-eng.co.th" TargetMode="External"/><Relationship Id="rId11" Type="http://schemas.openxmlformats.org/officeDocument/2006/relationships/hyperlink" Target="mailto:woranan.s@mec-eng.co.th" TargetMode="External"/><Relationship Id="rId24" Type="http://schemas.openxmlformats.org/officeDocument/2006/relationships/table" Target="../tables/table7.xml"/><Relationship Id="rId5" Type="http://schemas.openxmlformats.org/officeDocument/2006/relationships/hyperlink" Target="mailto:parata.m@mec-eng.co.th" TargetMode="External"/><Relationship Id="rId15" Type="http://schemas.openxmlformats.org/officeDocument/2006/relationships/hyperlink" Target="mailto:thanyapong.p@mec-eng.co.th" TargetMode="External"/><Relationship Id="rId23" Type="http://schemas.openxmlformats.org/officeDocument/2006/relationships/drawing" Target="../drawings/drawing5.xml"/><Relationship Id="rId10" Type="http://schemas.openxmlformats.org/officeDocument/2006/relationships/hyperlink" Target="mailto:Samart.m@mec-eng.co.th" TargetMode="External"/><Relationship Id="rId19" Type="http://schemas.openxmlformats.org/officeDocument/2006/relationships/hyperlink" Target="mailto:design2.mec@gmail.com" TargetMode="External"/><Relationship Id="rId4" Type="http://schemas.openxmlformats.org/officeDocument/2006/relationships/hyperlink" Target="mailto:decha.c@mec-eng.co.th" TargetMode="External"/><Relationship Id="rId9" Type="http://schemas.openxmlformats.org/officeDocument/2006/relationships/hyperlink" Target="mailto:Samart.m@mec-eng.co.th" TargetMode="External"/><Relationship Id="rId14" Type="http://schemas.openxmlformats.org/officeDocument/2006/relationships/hyperlink" Target="mailto:wanna.s@mec-eng.co.th" TargetMode="External"/><Relationship Id="rId22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Satja.W@mec-eng.co.th" TargetMode="External"/><Relationship Id="rId3" Type="http://schemas.openxmlformats.org/officeDocument/2006/relationships/hyperlink" Target="mailto:design005.mec@gmail.com" TargetMode="External"/><Relationship Id="rId7" Type="http://schemas.openxmlformats.org/officeDocument/2006/relationships/hyperlink" Target="mailto:Satja.W@mec-eng.co.th" TargetMode="External"/><Relationship Id="rId2" Type="http://schemas.openxmlformats.org/officeDocument/2006/relationships/hyperlink" Target="mailto:rangson.t@mec-eng.co.th" TargetMode="External"/><Relationship Id="rId1" Type="http://schemas.openxmlformats.org/officeDocument/2006/relationships/hyperlink" Target="mailto:parinya.mec@gmail.com" TargetMode="External"/><Relationship Id="rId6" Type="http://schemas.openxmlformats.org/officeDocument/2006/relationships/hyperlink" Target="mailto:Natthaphong.p@mec-eng.co.th" TargetMode="External"/><Relationship Id="rId11" Type="http://schemas.openxmlformats.org/officeDocument/2006/relationships/table" Target="../tables/table10.xml"/><Relationship Id="rId5" Type="http://schemas.openxmlformats.org/officeDocument/2006/relationships/hyperlink" Target="mailto:Natthaphong.p@mec-eng.co.th" TargetMode="External"/><Relationship Id="rId10" Type="http://schemas.openxmlformats.org/officeDocument/2006/relationships/table" Target="../tables/table9.xml"/><Relationship Id="rId4" Type="http://schemas.openxmlformats.org/officeDocument/2006/relationships/hyperlink" Target="mailto:utit.n@mec-eng.co.th" TargetMode="External"/><Relationship Id="rId9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Hatairat.p@mec-eng.co.th" TargetMode="External"/><Relationship Id="rId2" Type="http://schemas.openxmlformats.org/officeDocument/2006/relationships/hyperlink" Target="mailto:Chanin.l@mec-eng.co.th" TargetMode="External"/><Relationship Id="rId1" Type="http://schemas.openxmlformats.org/officeDocument/2006/relationships/hyperlink" Target="mailto:Apichat.j@mec-eng.co.th" TargetMode="External"/><Relationship Id="rId5" Type="http://schemas.openxmlformats.org/officeDocument/2006/relationships/table" Target="../tables/table12.xml"/><Relationship Id="rId4" Type="http://schemas.openxmlformats.org/officeDocument/2006/relationships/hyperlink" Target="mailto:Ismail.t@mec-eng.co.th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2E76-4570-4F52-8D43-4E366FEBC83C}">
  <dimension ref="A1:H28"/>
  <sheetViews>
    <sheetView zoomScaleNormal="100" workbookViewId="0">
      <selection activeCell="M11" sqref="M11"/>
    </sheetView>
  </sheetViews>
  <sheetFormatPr defaultRowHeight="13.8" x14ac:dyDescent="0.25"/>
  <cols>
    <col min="1" max="1" width="8.69921875" bestFit="1" customWidth="1"/>
    <col min="2" max="2" width="24.19921875" bestFit="1" customWidth="1"/>
    <col min="3" max="3" width="9.09765625" style="2" customWidth="1"/>
    <col min="4" max="4" width="13.5" style="2" customWidth="1"/>
    <col min="5" max="5" width="15.09765625" style="2" bestFit="1" customWidth="1"/>
    <col min="6" max="6" width="11.19921875" bestFit="1" customWidth="1"/>
    <col min="7" max="7" width="12.19921875" bestFit="1" customWidth="1"/>
    <col min="8" max="8" width="13.09765625" bestFit="1" customWidth="1"/>
  </cols>
  <sheetData>
    <row r="1" spans="1:8" ht="25.8" x14ac:dyDescent="0.65">
      <c r="A1" s="59" t="s">
        <v>0</v>
      </c>
      <c r="B1" s="59" t="s">
        <v>1</v>
      </c>
      <c r="C1" s="60" t="s">
        <v>2</v>
      </c>
      <c r="D1" s="61" t="s">
        <v>3</v>
      </c>
      <c r="E1" s="62" t="s">
        <v>4</v>
      </c>
      <c r="F1" s="62" t="s">
        <v>5</v>
      </c>
      <c r="G1" s="62" t="s">
        <v>6</v>
      </c>
      <c r="H1" s="83" t="s">
        <v>7</v>
      </c>
    </row>
    <row r="2" spans="1:8" ht="25.8" x14ac:dyDescent="0.65">
      <c r="A2" s="63" t="s">
        <v>9</v>
      </c>
      <c r="B2" s="64" t="s">
        <v>10</v>
      </c>
      <c r="C2" s="65">
        <v>10</v>
      </c>
      <c r="D2" s="66">
        <v>244409</v>
      </c>
      <c r="E2" s="67" t="s">
        <v>11</v>
      </c>
      <c r="F2" s="68">
        <v>9600</v>
      </c>
      <c r="G2" s="85">
        <v>96000</v>
      </c>
      <c r="H2" s="84">
        <f>G2/12*10</f>
        <v>80000</v>
      </c>
    </row>
    <row r="3" spans="1:8" ht="25.8" x14ac:dyDescent="0.65">
      <c r="A3" s="69" t="s">
        <v>12</v>
      </c>
      <c r="B3" s="73" t="s">
        <v>13</v>
      </c>
      <c r="C3" s="74">
        <v>20</v>
      </c>
      <c r="D3" s="75">
        <v>25373</v>
      </c>
      <c r="E3" s="76" t="s">
        <v>14</v>
      </c>
      <c r="F3" s="77">
        <v>13800</v>
      </c>
      <c r="G3" s="86">
        <v>276000</v>
      </c>
      <c r="H3" s="84">
        <f>G3/12*6</f>
        <v>138000</v>
      </c>
    </row>
    <row r="4" spans="1:8" ht="25.8" x14ac:dyDescent="0.65">
      <c r="A4" s="69"/>
      <c r="B4" s="78" t="s">
        <v>13</v>
      </c>
      <c r="C4" s="79">
        <v>10</v>
      </c>
      <c r="D4" s="80">
        <v>26117</v>
      </c>
      <c r="E4" s="81" t="s">
        <v>14</v>
      </c>
      <c r="F4" s="82">
        <v>41400</v>
      </c>
      <c r="G4" s="87">
        <v>414000</v>
      </c>
      <c r="H4" s="84"/>
    </row>
    <row r="5" spans="1:8" ht="25.8" x14ac:dyDescent="0.65">
      <c r="A5" s="69"/>
      <c r="B5" s="73" t="s">
        <v>13</v>
      </c>
      <c r="C5" s="74">
        <v>21</v>
      </c>
      <c r="D5" s="75">
        <v>25446</v>
      </c>
      <c r="E5" s="76" t="s">
        <v>14</v>
      </c>
      <c r="F5" s="77">
        <v>13800</v>
      </c>
      <c r="G5" s="86">
        <f>F5*21</f>
        <v>289800</v>
      </c>
      <c r="H5" s="84">
        <f>G5/12*4</f>
        <v>96600</v>
      </c>
    </row>
    <row r="6" spans="1:8" ht="25.8" x14ac:dyDescent="0.65">
      <c r="A6" s="69"/>
      <c r="B6" s="73" t="s">
        <v>13</v>
      </c>
      <c r="C6" s="74">
        <v>10</v>
      </c>
      <c r="D6" s="75">
        <v>46383</v>
      </c>
      <c r="E6" s="76" t="s">
        <v>15</v>
      </c>
      <c r="F6" s="77">
        <v>13800</v>
      </c>
      <c r="G6" s="86">
        <f>F6*10</f>
        <v>138000</v>
      </c>
      <c r="H6" s="84">
        <f>G6/12*12</f>
        <v>138000</v>
      </c>
    </row>
    <row r="7" spans="1:8" ht="25.8" x14ac:dyDescent="0.65">
      <c r="A7" s="69"/>
      <c r="B7" s="73" t="s">
        <v>16</v>
      </c>
      <c r="C7" s="74">
        <v>4</v>
      </c>
      <c r="D7" s="75">
        <v>46265</v>
      </c>
      <c r="E7" s="76" t="s">
        <v>14</v>
      </c>
      <c r="F7" s="77">
        <v>53000</v>
      </c>
      <c r="G7" s="86">
        <v>212000</v>
      </c>
      <c r="H7" s="84">
        <f>G7/12*4</f>
        <v>70666.666666666672</v>
      </c>
    </row>
    <row r="8" spans="1:8" ht="25.8" x14ac:dyDescent="0.65">
      <c r="A8" s="69"/>
      <c r="B8" s="73" t="s">
        <v>16</v>
      </c>
      <c r="C8" s="74">
        <v>3</v>
      </c>
      <c r="D8" s="75">
        <v>46206</v>
      </c>
      <c r="E8" s="76" t="s">
        <v>14</v>
      </c>
      <c r="F8" s="77">
        <v>53000</v>
      </c>
      <c r="G8" s="86">
        <v>159000</v>
      </c>
      <c r="H8" s="84">
        <f>G8/12*6</f>
        <v>79500</v>
      </c>
    </row>
    <row r="9" spans="1:8" ht="25.8" x14ac:dyDescent="0.65">
      <c r="A9" s="69"/>
      <c r="B9" s="73" t="s">
        <v>17</v>
      </c>
      <c r="C9" s="74">
        <v>5</v>
      </c>
      <c r="D9" s="75">
        <v>46186</v>
      </c>
      <c r="E9" s="76" t="s">
        <v>14</v>
      </c>
      <c r="F9" s="77">
        <v>20000</v>
      </c>
      <c r="G9" s="86">
        <v>100000</v>
      </c>
      <c r="H9" s="84">
        <f>G9/12*6</f>
        <v>50000</v>
      </c>
    </row>
    <row r="10" spans="1:8" ht="25.8" x14ac:dyDescent="0.65">
      <c r="A10" s="69"/>
      <c r="B10" s="73" t="s">
        <v>18</v>
      </c>
      <c r="C10" s="74">
        <v>6</v>
      </c>
      <c r="D10" s="75">
        <v>46356</v>
      </c>
      <c r="E10" s="76" t="s">
        <v>14</v>
      </c>
      <c r="F10" s="77">
        <v>75000</v>
      </c>
      <c r="G10" s="86">
        <v>450000</v>
      </c>
      <c r="H10" s="84">
        <f>G10/12*1</f>
        <v>37500</v>
      </c>
    </row>
    <row r="11" spans="1:8" ht="25.8" x14ac:dyDescent="0.65">
      <c r="A11" s="69"/>
      <c r="B11" s="73" t="s">
        <v>19</v>
      </c>
      <c r="C11" s="74">
        <v>1</v>
      </c>
      <c r="D11" s="75">
        <v>46409</v>
      </c>
      <c r="E11" s="76" t="s">
        <v>14</v>
      </c>
      <c r="F11" s="77">
        <v>78500</v>
      </c>
      <c r="G11" s="86">
        <v>78500</v>
      </c>
      <c r="H11" s="84"/>
    </row>
    <row r="12" spans="1:8" ht="25.8" x14ac:dyDescent="0.65">
      <c r="A12" s="69"/>
      <c r="B12" s="73" t="s">
        <v>20</v>
      </c>
      <c r="C12" s="74">
        <v>6</v>
      </c>
      <c r="D12" s="75">
        <v>46356</v>
      </c>
      <c r="E12" s="76" t="s">
        <v>14</v>
      </c>
      <c r="F12" s="77">
        <v>11000</v>
      </c>
      <c r="G12" s="86">
        <v>66000</v>
      </c>
      <c r="H12" s="84">
        <f>G12/12*1</f>
        <v>5500</v>
      </c>
    </row>
    <row r="13" spans="1:8" ht="25.8" x14ac:dyDescent="0.65">
      <c r="A13" s="69" t="s">
        <v>21</v>
      </c>
      <c r="B13" s="70" t="s">
        <v>22</v>
      </c>
      <c r="C13" s="71">
        <v>10</v>
      </c>
      <c r="D13" s="72">
        <v>46280</v>
      </c>
      <c r="E13" s="67" t="s">
        <v>15</v>
      </c>
      <c r="F13" s="68">
        <v>930</v>
      </c>
      <c r="G13" s="85">
        <v>9300</v>
      </c>
      <c r="H13" s="84">
        <f>G13/12*3</f>
        <v>2325</v>
      </c>
    </row>
    <row r="14" spans="1:8" ht="25.8" x14ac:dyDescent="0.65">
      <c r="A14" s="69"/>
      <c r="B14" s="70" t="s">
        <v>23</v>
      </c>
      <c r="C14" s="71">
        <v>96</v>
      </c>
      <c r="D14" s="72">
        <v>46409</v>
      </c>
      <c r="E14" s="67" t="s">
        <v>24</v>
      </c>
      <c r="F14" s="68">
        <v>2940</v>
      </c>
      <c r="G14" s="85">
        <v>282240</v>
      </c>
      <c r="H14" s="84">
        <f>G14/12*11</f>
        <v>258720</v>
      </c>
    </row>
    <row r="15" spans="1:8" ht="25.8" x14ac:dyDescent="0.65">
      <c r="A15" s="69"/>
      <c r="B15" s="70" t="s">
        <v>23</v>
      </c>
      <c r="C15" s="71">
        <v>50</v>
      </c>
      <c r="D15" s="72">
        <v>46280</v>
      </c>
      <c r="E15" s="67" t="s">
        <v>15</v>
      </c>
      <c r="F15" s="68">
        <v>3100</v>
      </c>
      <c r="G15" s="85">
        <v>155000</v>
      </c>
      <c r="H15" s="84">
        <f>G15/12*3</f>
        <v>38750</v>
      </c>
    </row>
    <row r="16" spans="1:8" ht="25.8" x14ac:dyDescent="0.65">
      <c r="A16" s="69"/>
      <c r="B16" s="70" t="s">
        <v>25</v>
      </c>
      <c r="C16" s="71">
        <v>10</v>
      </c>
      <c r="D16" s="72">
        <v>46409</v>
      </c>
      <c r="E16" s="67" t="s">
        <v>24</v>
      </c>
      <c r="F16" s="68">
        <v>6170</v>
      </c>
      <c r="G16" s="85">
        <v>61700</v>
      </c>
      <c r="H16" s="84">
        <f>G16/12*11</f>
        <v>56558.333333333336</v>
      </c>
    </row>
    <row r="17" spans="1:8" ht="25.8" x14ac:dyDescent="0.65">
      <c r="A17" s="69"/>
      <c r="B17" s="70" t="s">
        <v>26</v>
      </c>
      <c r="C17" s="71">
        <v>2</v>
      </c>
      <c r="D17" s="72">
        <v>46128</v>
      </c>
      <c r="E17" s="67" t="s">
        <v>27</v>
      </c>
      <c r="F17" s="68">
        <v>12000</v>
      </c>
      <c r="G17" s="85">
        <f>F17*C17</f>
        <v>24000</v>
      </c>
      <c r="H17" s="84">
        <f>G17/12*8</f>
        <v>16000</v>
      </c>
    </row>
    <row r="18" spans="1:8" ht="25.8" x14ac:dyDescent="0.65">
      <c r="A18" s="69" t="s">
        <v>28</v>
      </c>
      <c r="B18" s="70" t="s">
        <v>29</v>
      </c>
      <c r="C18" s="71">
        <v>2</v>
      </c>
      <c r="D18" s="72">
        <v>46203</v>
      </c>
      <c r="E18" s="67" t="s">
        <v>30</v>
      </c>
      <c r="F18" s="68">
        <v>63000</v>
      </c>
      <c r="G18" s="85">
        <v>126000</v>
      </c>
      <c r="H18" s="84">
        <f>G18/12*6</f>
        <v>63000</v>
      </c>
    </row>
    <row r="19" spans="1:8" ht="25.8" x14ac:dyDescent="0.65">
      <c r="A19" s="69" t="s">
        <v>31</v>
      </c>
      <c r="B19" s="70" t="s">
        <v>32</v>
      </c>
      <c r="C19" s="71">
        <v>70</v>
      </c>
      <c r="D19" s="72">
        <v>46279</v>
      </c>
      <c r="E19" s="67" t="s">
        <v>24</v>
      </c>
      <c r="F19" s="68">
        <v>500</v>
      </c>
      <c r="G19" s="85">
        <v>35000</v>
      </c>
      <c r="H19" s="84"/>
    </row>
    <row r="20" spans="1:8" ht="25.8" x14ac:dyDescent="0.65">
      <c r="A20" s="69"/>
      <c r="B20" s="70" t="s">
        <v>32</v>
      </c>
      <c r="C20" s="71">
        <v>80</v>
      </c>
      <c r="D20" s="72">
        <v>46279</v>
      </c>
      <c r="E20" s="67" t="s">
        <v>24</v>
      </c>
      <c r="F20" s="68">
        <v>750</v>
      </c>
      <c r="G20" s="85">
        <v>60000</v>
      </c>
      <c r="H20" s="84">
        <f>G20/12*3</f>
        <v>15000</v>
      </c>
    </row>
    <row r="21" spans="1:8" ht="25.8" x14ac:dyDescent="0.65">
      <c r="A21" s="69" t="s">
        <v>33</v>
      </c>
      <c r="B21" s="70" t="s">
        <v>34</v>
      </c>
      <c r="C21" s="71">
        <v>10</v>
      </c>
      <c r="D21" s="72">
        <v>25320</v>
      </c>
      <c r="E21" s="67" t="s">
        <v>35</v>
      </c>
      <c r="F21" s="68">
        <v>12400</v>
      </c>
      <c r="G21" s="85">
        <v>124000</v>
      </c>
      <c r="H21" s="84">
        <f>G21/12*8</f>
        <v>82666.666666666672</v>
      </c>
    </row>
    <row r="22" spans="1:8" ht="25.8" x14ac:dyDescent="0.65">
      <c r="A22" s="69" t="s">
        <v>36</v>
      </c>
      <c r="B22" s="70" t="s">
        <v>37</v>
      </c>
      <c r="C22" s="71">
        <v>1</v>
      </c>
      <c r="D22" s="72">
        <v>25305</v>
      </c>
      <c r="E22" s="67" t="s">
        <v>38</v>
      </c>
      <c r="F22" s="68">
        <v>6600</v>
      </c>
      <c r="G22" s="85">
        <v>6600</v>
      </c>
      <c r="H22" s="84">
        <f>G22/12*8</f>
        <v>4400</v>
      </c>
    </row>
    <row r="23" spans="1:8" ht="25.8" x14ac:dyDescent="0.65">
      <c r="A23" s="69"/>
      <c r="B23" s="70" t="s">
        <v>39</v>
      </c>
      <c r="C23" s="71">
        <v>1</v>
      </c>
      <c r="D23" s="72">
        <v>25234</v>
      </c>
      <c r="E23" s="67" t="s">
        <v>40</v>
      </c>
      <c r="F23" s="68">
        <v>204000</v>
      </c>
      <c r="G23" s="85">
        <v>204000</v>
      </c>
      <c r="H23" s="84">
        <f>G23/12*11</f>
        <v>187000</v>
      </c>
    </row>
    <row r="24" spans="1:8" ht="25.8" x14ac:dyDescent="0.65">
      <c r="A24" s="69" t="s">
        <v>41</v>
      </c>
      <c r="B24" s="70" t="s">
        <v>42</v>
      </c>
      <c r="C24" s="71">
        <v>1</v>
      </c>
      <c r="D24" s="72">
        <v>244560</v>
      </c>
      <c r="E24" s="67" t="s">
        <v>43</v>
      </c>
      <c r="F24" s="68">
        <v>45000</v>
      </c>
      <c r="G24" s="85">
        <v>45000</v>
      </c>
      <c r="H24" s="84">
        <f>G24/12*5</f>
        <v>18750</v>
      </c>
    </row>
    <row r="25" spans="1:8" ht="25.8" x14ac:dyDescent="0.65">
      <c r="A25" s="69" t="s">
        <v>44</v>
      </c>
      <c r="B25" s="70" t="s">
        <v>45</v>
      </c>
      <c r="C25" s="71">
        <v>1</v>
      </c>
      <c r="D25" s="72">
        <v>25609</v>
      </c>
      <c r="E25" s="67" t="s">
        <v>46</v>
      </c>
      <c r="F25" s="68">
        <v>2000</v>
      </c>
      <c r="G25" s="85">
        <v>2000</v>
      </c>
      <c r="H25" s="84">
        <f>G25/12*10</f>
        <v>1666.6666666666665</v>
      </c>
    </row>
    <row r="26" spans="1:8" ht="25.8" x14ac:dyDescent="0.65">
      <c r="A26" s="108" t="s">
        <v>47</v>
      </c>
      <c r="B26" s="109" t="s">
        <v>48</v>
      </c>
      <c r="C26" s="110">
        <v>1</v>
      </c>
      <c r="D26" s="111">
        <v>25419</v>
      </c>
      <c r="E26" s="112" t="s">
        <v>49</v>
      </c>
      <c r="F26" s="113">
        <v>2000</v>
      </c>
      <c r="G26" s="114">
        <v>2000</v>
      </c>
      <c r="H26" s="115">
        <f>G26/12*4</f>
        <v>666.66666666666663</v>
      </c>
    </row>
    <row r="27" spans="1:8" s="1" customFormat="1" ht="25.8" x14ac:dyDescent="0.65">
      <c r="A27" s="116" t="s">
        <v>50</v>
      </c>
      <c r="B27" s="116" t="s">
        <v>51</v>
      </c>
      <c r="C27" s="76">
        <v>1</v>
      </c>
      <c r="D27" s="117">
        <v>46038</v>
      </c>
      <c r="E27" s="76" t="s">
        <v>52</v>
      </c>
      <c r="F27" s="118">
        <v>20800</v>
      </c>
      <c r="G27" s="118">
        <v>20800</v>
      </c>
      <c r="H27" s="118"/>
    </row>
    <row r="28" spans="1:8" s="1" customFormat="1" ht="25.8" x14ac:dyDescent="0.65">
      <c r="C28" s="5"/>
      <c r="D28" s="5"/>
      <c r="E28" s="5" t="s">
        <v>8</v>
      </c>
      <c r="F28" s="34">
        <f>SUM(F3:F27)</f>
        <v>755490</v>
      </c>
      <c r="G28" s="34">
        <f>SUM(G3:G27)</f>
        <v>3340940</v>
      </c>
      <c r="H28" s="34">
        <f>SUM(H3:H27)</f>
        <v>1361270.0000000002</v>
      </c>
    </row>
  </sheetData>
  <autoFilter ref="A1:G27" xr:uid="{F0122E76-4570-4F52-8D43-4E366FEBC83C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E571-52BF-464F-9BFB-53709247C46E}">
  <dimension ref="A1:I17"/>
  <sheetViews>
    <sheetView zoomScale="85" zoomScaleNormal="85" workbookViewId="0">
      <selection activeCell="D9" sqref="D9"/>
    </sheetView>
  </sheetViews>
  <sheetFormatPr defaultColWidth="9" defaultRowHeight="25.8" x14ac:dyDescent="0.65"/>
  <cols>
    <col min="1" max="1" width="9" style="1" customWidth="1"/>
    <col min="2" max="2" width="19.09765625" style="1" customWidth="1"/>
    <col min="3" max="3" width="19.09765625" style="1" bestFit="1" customWidth="1"/>
    <col min="4" max="4" width="12.5" style="1" bestFit="1" customWidth="1"/>
    <col min="5" max="5" width="45.59765625" style="1" bestFit="1" customWidth="1"/>
    <col min="6" max="7" width="23.3984375" style="1" bestFit="1" customWidth="1"/>
    <col min="8" max="8" width="14.5" style="1" bestFit="1" customWidth="1"/>
    <col min="9" max="9" width="24" style="1" bestFit="1" customWidth="1"/>
    <col min="10" max="16384" width="9" style="1"/>
  </cols>
  <sheetData>
    <row r="1" spans="1:9" x14ac:dyDescent="0.65">
      <c r="A1" s="125" t="s">
        <v>53</v>
      </c>
      <c r="B1" s="125"/>
      <c r="C1" s="125"/>
      <c r="D1" s="125"/>
      <c r="E1" s="125"/>
      <c r="F1" s="125"/>
      <c r="G1" s="125"/>
      <c r="H1" s="125"/>
      <c r="I1" s="125"/>
    </row>
    <row r="2" spans="1:9" x14ac:dyDescent="0.65">
      <c r="A2" s="125" t="s">
        <v>54</v>
      </c>
      <c r="B2" s="125"/>
      <c r="C2" s="125"/>
      <c r="D2" s="125"/>
      <c r="E2" s="125"/>
      <c r="F2" s="125"/>
      <c r="G2" s="125"/>
      <c r="H2" s="125"/>
      <c r="I2" s="125"/>
    </row>
    <row r="3" spans="1:9" ht="26.4" x14ac:dyDescent="0.65">
      <c r="A3" s="11" t="s">
        <v>55</v>
      </c>
      <c r="B3" s="11" t="s">
        <v>56</v>
      </c>
      <c r="C3" s="11" t="s">
        <v>57</v>
      </c>
      <c r="D3" s="11" t="s">
        <v>58</v>
      </c>
      <c r="E3" s="11" t="s">
        <v>59</v>
      </c>
      <c r="F3" s="11" t="s">
        <v>60</v>
      </c>
      <c r="G3" s="11" t="s">
        <v>61</v>
      </c>
      <c r="H3" s="11" t="s">
        <v>62</v>
      </c>
      <c r="I3" s="11" t="s">
        <v>63</v>
      </c>
    </row>
    <row r="4" spans="1:9" x14ac:dyDescent="0.65">
      <c r="A4" s="5">
        <v>1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68</v>
      </c>
      <c r="I4" s="1" t="s">
        <v>69</v>
      </c>
    </row>
    <row r="5" spans="1:9" x14ac:dyDescent="0.65">
      <c r="A5" s="5">
        <v>2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74</v>
      </c>
      <c r="I5" s="1" t="s">
        <v>69</v>
      </c>
    </row>
    <row r="6" spans="1:9" x14ac:dyDescent="0.65">
      <c r="A6" s="5">
        <v>3</v>
      </c>
      <c r="B6" s="4" t="s">
        <v>75</v>
      </c>
      <c r="C6" s="4" t="s">
        <v>75</v>
      </c>
      <c r="D6" s="1" t="s">
        <v>76</v>
      </c>
      <c r="E6" s="1" t="s">
        <v>77</v>
      </c>
      <c r="F6" s="51" t="s">
        <v>78</v>
      </c>
      <c r="G6" s="51" t="s">
        <v>78</v>
      </c>
      <c r="I6" s="1" t="s">
        <v>69</v>
      </c>
    </row>
    <row r="7" spans="1:9" x14ac:dyDescent="0.65">
      <c r="A7" s="5">
        <v>4</v>
      </c>
      <c r="B7" s="1" t="s">
        <v>79</v>
      </c>
      <c r="C7" s="1" t="s">
        <v>80</v>
      </c>
      <c r="D7" s="1" t="s">
        <v>81</v>
      </c>
      <c r="E7" s="1" t="s">
        <v>82</v>
      </c>
      <c r="F7" s="1" t="s">
        <v>83</v>
      </c>
      <c r="G7" s="1" t="s">
        <v>83</v>
      </c>
      <c r="I7" s="1" t="s">
        <v>69</v>
      </c>
    </row>
    <row r="8" spans="1:9" x14ac:dyDescent="0.65">
      <c r="A8" s="5">
        <v>5</v>
      </c>
      <c r="B8" s="1" t="s">
        <v>84</v>
      </c>
    </row>
    <row r="9" spans="1:9" x14ac:dyDescent="0.65">
      <c r="A9" s="5">
        <v>6</v>
      </c>
      <c r="B9" s="4" t="s">
        <v>84</v>
      </c>
      <c r="C9" s="4"/>
      <c r="F9" s="51"/>
      <c r="G9" s="51"/>
    </row>
    <row r="10" spans="1:9" x14ac:dyDescent="0.65">
      <c r="A10" s="5">
        <v>7</v>
      </c>
      <c r="B10" s="3" t="s">
        <v>84</v>
      </c>
      <c r="F10" s="3"/>
    </row>
    <row r="11" spans="1:9" x14ac:dyDescent="0.65">
      <c r="A11" s="5">
        <v>8</v>
      </c>
      <c r="B11" s="3" t="s">
        <v>84</v>
      </c>
      <c r="F11" s="3"/>
    </row>
    <row r="12" spans="1:9" x14ac:dyDescent="0.65">
      <c r="A12" s="5">
        <v>9</v>
      </c>
      <c r="B12" s="3" t="s">
        <v>84</v>
      </c>
      <c r="F12" s="3"/>
    </row>
    <row r="13" spans="1:9" x14ac:dyDescent="0.65">
      <c r="A13" s="5">
        <v>10</v>
      </c>
      <c r="B13" s="3" t="s">
        <v>84</v>
      </c>
      <c r="F13" s="3"/>
    </row>
    <row r="14" spans="1:9" x14ac:dyDescent="0.65">
      <c r="A14" s="126" t="s">
        <v>85</v>
      </c>
      <c r="B14" s="127"/>
      <c r="C14" s="128" t="s">
        <v>86</v>
      </c>
      <c r="D14" s="127"/>
    </row>
    <row r="15" spans="1:9" x14ac:dyDescent="0.65">
      <c r="A15" s="120" t="s">
        <v>87</v>
      </c>
      <c r="B15" s="121"/>
      <c r="C15" s="124">
        <f>COUNTIFS(Table8[Assigned users],"&lt;&gt;ว่าง")</f>
        <v>4</v>
      </c>
      <c r="D15" s="121"/>
    </row>
    <row r="16" spans="1:9" x14ac:dyDescent="0.65">
      <c r="A16" s="120" t="s">
        <v>88</v>
      </c>
      <c r="B16" s="121"/>
      <c r="C16" s="122">
        <f>COUNTIF(Table8[Assigned users],"ว่าง")</f>
        <v>6</v>
      </c>
      <c r="D16" s="123"/>
    </row>
    <row r="17" spans="1:4" x14ac:dyDescent="0.65">
      <c r="A17" s="120" t="s">
        <v>89</v>
      </c>
      <c r="B17" s="121"/>
      <c r="C17" s="124">
        <f>SUM(C15:C16)</f>
        <v>10</v>
      </c>
      <c r="D17" s="121"/>
    </row>
  </sheetData>
  <mergeCells count="10">
    <mergeCell ref="A16:B16"/>
    <mergeCell ref="C16:D16"/>
    <mergeCell ref="A17:B17"/>
    <mergeCell ref="C17:D17"/>
    <mergeCell ref="A1:I1"/>
    <mergeCell ref="A2:I2"/>
    <mergeCell ref="A14:B14"/>
    <mergeCell ref="C14:D14"/>
    <mergeCell ref="A15:B15"/>
    <mergeCell ref="C15:D15"/>
  </mergeCells>
  <conditionalFormatting sqref="A3:I3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{68BC83D8-14E7-43F5-90BF-B19790041E52}</x14:id>
        </ext>
      </extLst>
    </cfRule>
  </conditionalFormatting>
  <conditionalFormatting sqref="B14:B17">
    <cfRule type="duplicateValues" dxfId="28" priority="1"/>
    <cfRule type="duplicateValues" dxfId="27" priority="2"/>
  </conditionalFormatting>
  <conditionalFormatting sqref="C14:D14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{353CDE11-2E6D-45A7-8911-E41FE55E7480}</x14:id>
        </ext>
      </extLst>
    </cfRule>
  </conditionalFormatting>
  <hyperlinks>
    <hyperlink ref="F6" r:id="rId1" xr:uid="{494AE3D0-5CE0-4B0C-97A8-2D4F06D19E14}"/>
    <hyperlink ref="G6" r:id="rId2" xr:uid="{A60EC6DC-F3B1-47B0-8328-2254BFE4F1F5}"/>
  </hyperlinks>
  <pageMargins left="0.7" right="0.7" top="0.75" bottom="0.75" header="0.3" footer="0.3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BC83D8-14E7-43F5-90BF-B19790041E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A3:I3</xm:sqref>
        </x14:conditionalFormatting>
        <x14:conditionalFormatting xmlns:xm="http://schemas.microsoft.com/office/excel/2006/main">
          <x14:cfRule type="dataBar" id="{353CDE11-2E6D-45A7-8911-E41FE55E748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C14:D14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A6C1-F2E9-4E97-964A-5A8C6C9032E7}">
  <dimension ref="A1:I73"/>
  <sheetViews>
    <sheetView topLeftCell="A24" zoomScaleNormal="100" workbookViewId="0">
      <selection activeCell="C46" sqref="C46"/>
    </sheetView>
  </sheetViews>
  <sheetFormatPr defaultRowHeight="27.6" x14ac:dyDescent="0.8"/>
  <cols>
    <col min="1" max="1" width="8.3984375" style="9" bestFit="1" customWidth="1"/>
    <col min="2" max="2" width="29.3984375" style="6" bestFit="1" customWidth="1"/>
    <col min="3" max="3" width="31.09765625" style="6" customWidth="1"/>
    <col min="4" max="4" width="13.69921875" style="6" hidden="1" customWidth="1"/>
    <col min="5" max="5" width="33.19921875" style="6" bestFit="1" customWidth="1"/>
    <col min="6" max="6" width="30.09765625" style="6" hidden="1" customWidth="1"/>
    <col min="7" max="7" width="30.09765625" style="6" bestFit="1" customWidth="1"/>
    <col min="8" max="8" width="11" style="6" hidden="1" customWidth="1"/>
    <col min="9" max="9" width="26.8984375" style="6" customWidth="1"/>
    <col min="10" max="16383" width="9" style="6"/>
    <col min="16384" max="16384" width="9" style="6" bestFit="1" customWidth="1"/>
  </cols>
  <sheetData>
    <row r="1" spans="1:9" x14ac:dyDescent="0.8">
      <c r="A1" s="132" t="s">
        <v>90</v>
      </c>
      <c r="B1" s="132"/>
      <c r="C1" s="132"/>
      <c r="D1" s="132"/>
      <c r="E1" s="132"/>
      <c r="F1" s="132"/>
      <c r="G1" s="132"/>
      <c r="H1" s="132"/>
      <c r="I1" s="132"/>
    </row>
    <row r="2" spans="1:9" x14ac:dyDescent="0.8">
      <c r="A2" s="132" t="s">
        <v>91</v>
      </c>
      <c r="B2" s="132"/>
      <c r="C2" s="132"/>
      <c r="D2" s="132"/>
      <c r="E2" s="132"/>
      <c r="F2" s="132"/>
      <c r="G2" s="132"/>
      <c r="H2" s="132"/>
      <c r="I2" s="132"/>
    </row>
    <row r="3" spans="1:9" s="8" customFormat="1" x14ac:dyDescent="0.25">
      <c r="A3" s="7" t="s">
        <v>55</v>
      </c>
      <c r="B3" s="7" t="s">
        <v>56</v>
      </c>
      <c r="C3" s="7" t="s">
        <v>57</v>
      </c>
      <c r="D3" s="7" t="s">
        <v>58</v>
      </c>
      <c r="E3" s="7" t="s">
        <v>92</v>
      </c>
      <c r="F3" s="7" t="s">
        <v>60</v>
      </c>
      <c r="G3" s="7" t="s">
        <v>61</v>
      </c>
      <c r="H3" s="7" t="s">
        <v>62</v>
      </c>
      <c r="I3" s="7" t="s">
        <v>63</v>
      </c>
    </row>
    <row r="4" spans="1:9" x14ac:dyDescent="0.8">
      <c r="A4" s="9">
        <v>1</v>
      </c>
      <c r="B4" s="13" t="s">
        <v>93</v>
      </c>
      <c r="C4" s="6" t="s">
        <v>94</v>
      </c>
      <c r="D4" s="6" t="s">
        <v>95</v>
      </c>
      <c r="E4" s="6" t="s">
        <v>96</v>
      </c>
      <c r="F4" s="6" t="s">
        <v>97</v>
      </c>
      <c r="G4" s="88" t="s">
        <v>98</v>
      </c>
      <c r="H4" s="6" t="s">
        <v>99</v>
      </c>
      <c r="I4" s="6" t="s">
        <v>100</v>
      </c>
    </row>
    <row r="5" spans="1:9" x14ac:dyDescent="0.8">
      <c r="A5" s="9">
        <v>2</v>
      </c>
      <c r="B5" s="13" t="s">
        <v>101</v>
      </c>
      <c r="C5" s="6" t="s">
        <v>102</v>
      </c>
      <c r="D5" s="6" t="s">
        <v>103</v>
      </c>
      <c r="E5" s="6" t="s">
        <v>104</v>
      </c>
      <c r="F5" s="6" t="s">
        <v>105</v>
      </c>
      <c r="G5" s="6" t="s">
        <v>106</v>
      </c>
      <c r="H5" s="6" t="s">
        <v>99</v>
      </c>
      <c r="I5" s="6" t="s">
        <v>69</v>
      </c>
    </row>
    <row r="6" spans="1:9" x14ac:dyDescent="0.8">
      <c r="A6" s="9">
        <v>3</v>
      </c>
      <c r="B6" s="13" t="s">
        <v>107</v>
      </c>
      <c r="C6" s="6" t="s">
        <v>108</v>
      </c>
      <c r="D6" s="6" t="s">
        <v>109</v>
      </c>
      <c r="E6" s="6" t="s">
        <v>110</v>
      </c>
      <c r="F6" s="6" t="s">
        <v>111</v>
      </c>
      <c r="G6" s="6" t="s">
        <v>111</v>
      </c>
      <c r="H6" s="6" t="s">
        <v>99</v>
      </c>
      <c r="I6" s="6" t="s">
        <v>69</v>
      </c>
    </row>
    <row r="7" spans="1:9" x14ac:dyDescent="0.8">
      <c r="A7" s="9">
        <v>4</v>
      </c>
      <c r="B7" s="13" t="s">
        <v>70</v>
      </c>
      <c r="C7" s="6" t="s">
        <v>112</v>
      </c>
      <c r="D7" s="6" t="s">
        <v>72</v>
      </c>
      <c r="E7" s="6" t="s">
        <v>113</v>
      </c>
      <c r="F7" s="6" t="s">
        <v>74</v>
      </c>
      <c r="G7" s="6" t="s">
        <v>114</v>
      </c>
      <c r="H7" s="6" t="s">
        <v>99</v>
      </c>
      <c r="I7" s="6" t="s">
        <v>69</v>
      </c>
    </row>
    <row r="8" spans="1:9" x14ac:dyDescent="0.8">
      <c r="A8" s="9">
        <v>5</v>
      </c>
      <c r="B8" s="13" t="s">
        <v>115</v>
      </c>
      <c r="C8" s="6" t="s">
        <v>116</v>
      </c>
      <c r="D8" s="6" t="s">
        <v>117</v>
      </c>
      <c r="E8" s="6" t="s">
        <v>118</v>
      </c>
      <c r="F8" s="6" t="s">
        <v>119</v>
      </c>
      <c r="G8" s="6" t="s">
        <v>119</v>
      </c>
      <c r="H8" s="6" t="s">
        <v>99</v>
      </c>
      <c r="I8" s="6" t="s">
        <v>69</v>
      </c>
    </row>
    <row r="9" spans="1:9" x14ac:dyDescent="0.8">
      <c r="A9" s="9">
        <v>6</v>
      </c>
      <c r="B9" s="13" t="s">
        <v>120</v>
      </c>
      <c r="C9" s="6" t="s">
        <v>121</v>
      </c>
      <c r="D9" s="6" t="s">
        <v>122</v>
      </c>
      <c r="E9" s="6" t="s">
        <v>118</v>
      </c>
      <c r="F9" s="6" t="s">
        <v>123</v>
      </c>
      <c r="G9" s="6" t="s">
        <v>124</v>
      </c>
      <c r="H9" s="6" t="s">
        <v>99</v>
      </c>
      <c r="I9" s="6" t="s">
        <v>69</v>
      </c>
    </row>
    <row r="10" spans="1:9" x14ac:dyDescent="0.8">
      <c r="A10" s="9">
        <v>7</v>
      </c>
      <c r="B10" s="13" t="s">
        <v>125</v>
      </c>
      <c r="C10" s="6" t="s">
        <v>126</v>
      </c>
      <c r="D10" s="6" t="s">
        <v>127</v>
      </c>
      <c r="E10" s="6" t="s">
        <v>128</v>
      </c>
      <c r="F10" s="6" t="s">
        <v>129</v>
      </c>
      <c r="G10" s="6" t="s">
        <v>130</v>
      </c>
      <c r="H10" s="6" t="s">
        <v>99</v>
      </c>
      <c r="I10" s="6" t="s">
        <v>69</v>
      </c>
    </row>
    <row r="11" spans="1:9" x14ac:dyDescent="0.8">
      <c r="A11" s="9">
        <v>8</v>
      </c>
      <c r="B11" s="13" t="s">
        <v>131</v>
      </c>
      <c r="C11" s="6" t="s">
        <v>132</v>
      </c>
      <c r="D11" s="6" t="s">
        <v>133</v>
      </c>
      <c r="E11" s="6" t="s">
        <v>134</v>
      </c>
      <c r="F11" s="6" t="s">
        <v>135</v>
      </c>
      <c r="G11" s="6" t="s">
        <v>135</v>
      </c>
      <c r="H11" s="6" t="s">
        <v>99</v>
      </c>
      <c r="I11" s="6" t="s">
        <v>69</v>
      </c>
    </row>
    <row r="12" spans="1:9" x14ac:dyDescent="0.8">
      <c r="A12" s="9">
        <v>9</v>
      </c>
      <c r="B12" s="13" t="s">
        <v>136</v>
      </c>
      <c r="C12" s="6" t="s">
        <v>137</v>
      </c>
      <c r="D12" s="6" t="s">
        <v>138</v>
      </c>
      <c r="E12" s="6" t="s">
        <v>128</v>
      </c>
      <c r="F12" s="6" t="s">
        <v>139</v>
      </c>
      <c r="G12" s="6" t="s">
        <v>139</v>
      </c>
      <c r="H12" s="6" t="s">
        <v>99</v>
      </c>
      <c r="I12" s="6" t="s">
        <v>140</v>
      </c>
    </row>
    <row r="13" spans="1:9" x14ac:dyDescent="0.8">
      <c r="A13" s="9">
        <v>10</v>
      </c>
      <c r="B13" s="13" t="s">
        <v>141</v>
      </c>
      <c r="C13" s="6" t="s">
        <v>142</v>
      </c>
      <c r="D13" s="6" t="s">
        <v>143</v>
      </c>
      <c r="E13" s="6" t="s">
        <v>144</v>
      </c>
      <c r="F13" s="6" t="s">
        <v>145</v>
      </c>
      <c r="G13" s="6" t="s">
        <v>145</v>
      </c>
      <c r="H13" s="6" t="s">
        <v>99</v>
      </c>
      <c r="I13" s="6" t="s">
        <v>146</v>
      </c>
    </row>
    <row r="14" spans="1:9" x14ac:dyDescent="0.8">
      <c r="A14" s="9">
        <v>11</v>
      </c>
      <c r="B14" s="13" t="s">
        <v>147</v>
      </c>
      <c r="C14" s="6" t="s">
        <v>148</v>
      </c>
      <c r="D14" s="6" t="s">
        <v>149</v>
      </c>
      <c r="E14" s="6" t="s">
        <v>150</v>
      </c>
      <c r="F14" s="6" t="s">
        <v>151</v>
      </c>
      <c r="G14" s="6" t="s">
        <v>151</v>
      </c>
      <c r="H14" s="6" t="s">
        <v>99</v>
      </c>
      <c r="I14" s="6" t="s">
        <v>146</v>
      </c>
    </row>
    <row r="15" spans="1:9" x14ac:dyDescent="0.8">
      <c r="A15" s="9">
        <v>12</v>
      </c>
      <c r="B15" s="13" t="s">
        <v>152</v>
      </c>
      <c r="C15" s="6" t="s">
        <v>153</v>
      </c>
      <c r="D15" s="6" t="s">
        <v>154</v>
      </c>
      <c r="E15" s="6" t="s">
        <v>155</v>
      </c>
      <c r="F15" s="6" t="s">
        <v>156</v>
      </c>
      <c r="G15" s="6" t="s">
        <v>156</v>
      </c>
      <c r="H15" s="6" t="s">
        <v>99</v>
      </c>
      <c r="I15" s="6" t="s">
        <v>146</v>
      </c>
    </row>
    <row r="16" spans="1:9" x14ac:dyDescent="0.8">
      <c r="A16" s="9">
        <v>13</v>
      </c>
      <c r="B16" s="13" t="s">
        <v>157</v>
      </c>
      <c r="C16" s="6" t="s">
        <v>158</v>
      </c>
      <c r="D16" s="6" t="s">
        <v>159</v>
      </c>
      <c r="E16" s="6" t="s">
        <v>160</v>
      </c>
      <c r="F16" s="6" t="s">
        <v>161</v>
      </c>
      <c r="G16" s="6" t="s">
        <v>161</v>
      </c>
      <c r="H16" s="6" t="s">
        <v>99</v>
      </c>
      <c r="I16" s="6" t="s">
        <v>146</v>
      </c>
    </row>
    <row r="17" spans="1:9" x14ac:dyDescent="0.8">
      <c r="A17" s="9">
        <v>14</v>
      </c>
      <c r="B17" s="13" t="s">
        <v>162</v>
      </c>
      <c r="C17" s="6" t="s">
        <v>163</v>
      </c>
      <c r="D17" s="6" t="s">
        <v>164</v>
      </c>
      <c r="E17" s="6" t="s">
        <v>128</v>
      </c>
      <c r="F17" s="6" t="s">
        <v>165</v>
      </c>
      <c r="G17" s="6" t="s">
        <v>166</v>
      </c>
      <c r="H17" s="6" t="s">
        <v>99</v>
      </c>
      <c r="I17" s="6" t="s">
        <v>146</v>
      </c>
    </row>
    <row r="18" spans="1:9" x14ac:dyDescent="0.8">
      <c r="A18" s="9">
        <v>15</v>
      </c>
      <c r="B18" s="13" t="s">
        <v>167</v>
      </c>
      <c r="C18" s="6" t="s">
        <v>168</v>
      </c>
      <c r="D18" s="6" t="s">
        <v>169</v>
      </c>
      <c r="E18" s="6" t="s">
        <v>170</v>
      </c>
      <c r="F18" s="6" t="s">
        <v>171</v>
      </c>
      <c r="G18" s="6" t="s">
        <v>172</v>
      </c>
      <c r="H18" s="6" t="s">
        <v>99</v>
      </c>
      <c r="I18" s="6" t="s">
        <v>173</v>
      </c>
    </row>
    <row r="19" spans="1:9" x14ac:dyDescent="0.8">
      <c r="A19" s="9">
        <v>16</v>
      </c>
      <c r="B19" s="13" t="s">
        <v>174</v>
      </c>
      <c r="C19" s="6" t="s">
        <v>175</v>
      </c>
      <c r="D19" s="6" t="s">
        <v>176</v>
      </c>
      <c r="E19" s="6" t="s">
        <v>128</v>
      </c>
      <c r="F19" s="6" t="s">
        <v>177</v>
      </c>
      <c r="G19" s="6" t="s">
        <v>178</v>
      </c>
      <c r="H19" s="6" t="s">
        <v>99</v>
      </c>
      <c r="I19" s="6" t="s">
        <v>179</v>
      </c>
    </row>
    <row r="20" spans="1:9" x14ac:dyDescent="0.8">
      <c r="A20" s="9">
        <v>17</v>
      </c>
      <c r="B20" s="13" t="s">
        <v>180</v>
      </c>
      <c r="C20" s="6" t="s">
        <v>181</v>
      </c>
      <c r="D20" s="6" t="s">
        <v>182</v>
      </c>
      <c r="E20" s="6" t="s">
        <v>128</v>
      </c>
      <c r="F20" s="6" t="s">
        <v>183</v>
      </c>
      <c r="G20" s="6" t="s">
        <v>183</v>
      </c>
      <c r="H20" s="6" t="s">
        <v>99</v>
      </c>
      <c r="I20" s="6" t="s">
        <v>179</v>
      </c>
    </row>
    <row r="21" spans="1:9" x14ac:dyDescent="0.8">
      <c r="A21" s="9">
        <v>18</v>
      </c>
      <c r="B21" s="13" t="s">
        <v>184</v>
      </c>
      <c r="C21" s="6" t="s">
        <v>185</v>
      </c>
      <c r="D21" s="6" t="s">
        <v>186</v>
      </c>
      <c r="E21" s="6" t="s">
        <v>155</v>
      </c>
      <c r="F21" s="6" t="s">
        <v>187</v>
      </c>
      <c r="G21" s="6" t="s">
        <v>187</v>
      </c>
      <c r="H21" s="6" t="s">
        <v>99</v>
      </c>
      <c r="I21" s="6" t="s">
        <v>179</v>
      </c>
    </row>
    <row r="22" spans="1:9" x14ac:dyDescent="0.8">
      <c r="A22" s="9">
        <v>19</v>
      </c>
      <c r="B22" s="13" t="s">
        <v>188</v>
      </c>
      <c r="C22" s="6" t="s">
        <v>189</v>
      </c>
      <c r="D22" s="6" t="s">
        <v>190</v>
      </c>
      <c r="E22" s="6" t="s">
        <v>155</v>
      </c>
      <c r="F22" s="6" t="s">
        <v>191</v>
      </c>
      <c r="G22" s="6" t="s">
        <v>191</v>
      </c>
      <c r="H22" s="6" t="s">
        <v>99</v>
      </c>
      <c r="I22" s="6" t="s">
        <v>179</v>
      </c>
    </row>
    <row r="23" spans="1:9" x14ac:dyDescent="0.8">
      <c r="A23" s="9">
        <v>20</v>
      </c>
      <c r="B23" s="13" t="s">
        <v>192</v>
      </c>
      <c r="C23" s="6" t="s">
        <v>193</v>
      </c>
      <c r="D23" s="6" t="s">
        <v>194</v>
      </c>
      <c r="E23" s="6" t="s">
        <v>155</v>
      </c>
      <c r="F23" s="6" t="s">
        <v>195</v>
      </c>
      <c r="G23" s="6" t="s">
        <v>195</v>
      </c>
      <c r="H23" s="6" t="s">
        <v>99</v>
      </c>
      <c r="I23" s="6" t="s">
        <v>179</v>
      </c>
    </row>
    <row r="24" spans="1:9" x14ac:dyDescent="0.8">
      <c r="A24" s="9">
        <v>21</v>
      </c>
      <c r="B24" s="13" t="s">
        <v>196</v>
      </c>
      <c r="C24" s="6" t="s">
        <v>197</v>
      </c>
      <c r="D24" s="6" t="s">
        <v>198</v>
      </c>
      <c r="E24" s="6" t="s">
        <v>128</v>
      </c>
      <c r="F24" s="6" t="s">
        <v>199</v>
      </c>
      <c r="G24" s="6" t="s">
        <v>200</v>
      </c>
      <c r="H24" s="6" t="s">
        <v>99</v>
      </c>
      <c r="I24" s="6" t="s">
        <v>179</v>
      </c>
    </row>
    <row r="25" spans="1:9" x14ac:dyDescent="0.8">
      <c r="A25" s="9">
        <v>22</v>
      </c>
      <c r="B25" s="13" t="s">
        <v>201</v>
      </c>
      <c r="C25" s="6" t="s">
        <v>202</v>
      </c>
      <c r="D25" s="6" t="s">
        <v>203</v>
      </c>
      <c r="E25" s="6" t="s">
        <v>170</v>
      </c>
      <c r="F25" s="6" t="s">
        <v>204</v>
      </c>
      <c r="G25" s="6" t="s">
        <v>204</v>
      </c>
      <c r="H25" s="6" t="s">
        <v>99</v>
      </c>
      <c r="I25" s="6" t="s">
        <v>205</v>
      </c>
    </row>
    <row r="26" spans="1:9" x14ac:dyDescent="0.8">
      <c r="A26" s="9">
        <v>23</v>
      </c>
      <c r="B26" s="13" t="s">
        <v>206</v>
      </c>
      <c r="C26" s="6" t="s">
        <v>207</v>
      </c>
      <c r="D26" s="6" t="s">
        <v>208</v>
      </c>
      <c r="E26" s="6" t="s">
        <v>104</v>
      </c>
      <c r="F26" s="6" t="s">
        <v>209</v>
      </c>
      <c r="G26" s="6" t="s">
        <v>209</v>
      </c>
      <c r="H26" s="6" t="s">
        <v>99</v>
      </c>
      <c r="I26" s="6" t="s">
        <v>205</v>
      </c>
    </row>
    <row r="27" spans="1:9" x14ac:dyDescent="0.8">
      <c r="A27" s="9">
        <v>24</v>
      </c>
      <c r="B27" s="13" t="s">
        <v>210</v>
      </c>
      <c r="C27" s="6" t="s">
        <v>211</v>
      </c>
      <c r="D27" s="6" t="s">
        <v>212</v>
      </c>
      <c r="E27" s="6" t="s">
        <v>128</v>
      </c>
      <c r="F27" s="6" t="s">
        <v>213</v>
      </c>
      <c r="G27" s="6" t="s">
        <v>214</v>
      </c>
      <c r="H27" s="6" t="s">
        <v>99</v>
      </c>
      <c r="I27" s="6" t="s">
        <v>205</v>
      </c>
    </row>
    <row r="28" spans="1:9" x14ac:dyDescent="0.8">
      <c r="A28" s="9">
        <v>25</v>
      </c>
      <c r="B28" s="13" t="s">
        <v>215</v>
      </c>
      <c r="C28" s="6" t="s">
        <v>216</v>
      </c>
      <c r="D28" s="6" t="s">
        <v>217</v>
      </c>
      <c r="E28" s="6" t="s">
        <v>128</v>
      </c>
      <c r="F28" s="6" t="s">
        <v>218</v>
      </c>
      <c r="G28" s="6" t="s">
        <v>218</v>
      </c>
      <c r="H28" s="6" t="s">
        <v>99</v>
      </c>
      <c r="I28" s="6" t="s">
        <v>219</v>
      </c>
    </row>
    <row r="29" spans="1:9" x14ac:dyDescent="0.8">
      <c r="A29" s="9">
        <v>26</v>
      </c>
      <c r="B29" s="13" t="s">
        <v>220</v>
      </c>
      <c r="C29" s="6" t="s">
        <v>221</v>
      </c>
      <c r="D29" s="6" t="s">
        <v>222</v>
      </c>
      <c r="E29" s="6" t="s">
        <v>128</v>
      </c>
      <c r="F29" s="6" t="s">
        <v>223</v>
      </c>
      <c r="G29" s="6" t="s">
        <v>223</v>
      </c>
      <c r="H29" s="6" t="s">
        <v>99</v>
      </c>
      <c r="I29" s="6" t="s">
        <v>219</v>
      </c>
    </row>
    <row r="30" spans="1:9" x14ac:dyDescent="0.8">
      <c r="A30" s="9">
        <v>27</v>
      </c>
      <c r="B30" s="13" t="s">
        <v>224</v>
      </c>
      <c r="C30" s="6" t="s">
        <v>225</v>
      </c>
      <c r="D30" s="6" t="s">
        <v>226</v>
      </c>
      <c r="E30" s="6" t="s">
        <v>227</v>
      </c>
      <c r="F30" s="6" t="s">
        <v>228</v>
      </c>
      <c r="G30" s="6" t="s">
        <v>228</v>
      </c>
      <c r="H30" s="6" t="s">
        <v>99</v>
      </c>
      <c r="I30" s="6" t="s">
        <v>219</v>
      </c>
    </row>
    <row r="31" spans="1:9" x14ac:dyDescent="0.8">
      <c r="A31" s="9">
        <v>28</v>
      </c>
      <c r="B31" s="13" t="s">
        <v>229</v>
      </c>
      <c r="C31" s="6" t="s">
        <v>230</v>
      </c>
      <c r="D31" s="6" t="s">
        <v>231</v>
      </c>
      <c r="E31" s="6" t="s">
        <v>170</v>
      </c>
      <c r="F31" s="6" t="s">
        <v>232</v>
      </c>
      <c r="G31" s="6" t="s">
        <v>233</v>
      </c>
      <c r="H31" s="6" t="s">
        <v>99</v>
      </c>
      <c r="I31" s="6" t="s">
        <v>234</v>
      </c>
    </row>
    <row r="32" spans="1:9" x14ac:dyDescent="0.8">
      <c r="A32" s="9">
        <v>29</v>
      </c>
      <c r="B32" s="13" t="s">
        <v>235</v>
      </c>
      <c r="C32" s="6" t="s">
        <v>236</v>
      </c>
      <c r="D32" s="6" t="s">
        <v>237</v>
      </c>
      <c r="E32" s="6" t="s">
        <v>128</v>
      </c>
      <c r="F32" s="6" t="s">
        <v>238</v>
      </c>
      <c r="G32" s="6" t="s">
        <v>238</v>
      </c>
      <c r="H32" s="6" t="s">
        <v>99</v>
      </c>
      <c r="I32" s="6" t="s">
        <v>234</v>
      </c>
    </row>
    <row r="33" spans="1:9" x14ac:dyDescent="0.8">
      <c r="A33" s="9">
        <v>30</v>
      </c>
      <c r="B33" s="13" t="s">
        <v>239</v>
      </c>
      <c r="C33" s="6" t="s">
        <v>240</v>
      </c>
      <c r="D33" s="6" t="s">
        <v>241</v>
      </c>
      <c r="E33" s="6" t="s">
        <v>128</v>
      </c>
      <c r="F33" s="6" t="s">
        <v>242</v>
      </c>
      <c r="G33" s="6" t="s">
        <v>243</v>
      </c>
      <c r="H33" s="6" t="s">
        <v>99</v>
      </c>
      <c r="I33" s="6" t="s">
        <v>234</v>
      </c>
    </row>
    <row r="34" spans="1:9" x14ac:dyDescent="0.8">
      <c r="A34" s="9">
        <v>31</v>
      </c>
      <c r="B34" s="13" t="s">
        <v>244</v>
      </c>
      <c r="C34" s="6" t="s">
        <v>245</v>
      </c>
      <c r="D34" s="6" t="s">
        <v>246</v>
      </c>
      <c r="E34" s="6" t="s">
        <v>128</v>
      </c>
      <c r="F34" s="6" t="s">
        <v>247</v>
      </c>
      <c r="G34" s="6" t="s">
        <v>248</v>
      </c>
      <c r="H34" s="6" t="s">
        <v>99</v>
      </c>
      <c r="I34" s="6" t="s">
        <v>234</v>
      </c>
    </row>
    <row r="35" spans="1:9" x14ac:dyDescent="0.8">
      <c r="A35" s="9">
        <v>32</v>
      </c>
      <c r="B35" s="13" t="s">
        <v>249</v>
      </c>
      <c r="C35" s="6" t="s">
        <v>250</v>
      </c>
      <c r="D35" s="6" t="s">
        <v>251</v>
      </c>
      <c r="E35" s="6" t="s">
        <v>170</v>
      </c>
      <c r="F35" s="6" t="s">
        <v>252</v>
      </c>
      <c r="G35" s="6" t="s">
        <v>253</v>
      </c>
      <c r="H35" s="6" t="s">
        <v>99</v>
      </c>
      <c r="I35" s="6" t="s">
        <v>234</v>
      </c>
    </row>
    <row r="36" spans="1:9" x14ac:dyDescent="0.8">
      <c r="A36" s="9">
        <v>33</v>
      </c>
      <c r="B36" s="13" t="s">
        <v>254</v>
      </c>
      <c r="C36" s="6" t="s">
        <v>255</v>
      </c>
      <c r="D36" s="6" t="s">
        <v>256</v>
      </c>
      <c r="E36" s="6" t="s">
        <v>128</v>
      </c>
      <c r="F36" s="6" t="s">
        <v>257</v>
      </c>
      <c r="G36" s="6" t="s">
        <v>257</v>
      </c>
      <c r="H36" s="6" t="s">
        <v>99</v>
      </c>
      <c r="I36" s="6" t="s">
        <v>258</v>
      </c>
    </row>
    <row r="37" spans="1:9" x14ac:dyDescent="0.8">
      <c r="A37" s="9">
        <v>34</v>
      </c>
      <c r="B37" s="13" t="s">
        <v>259</v>
      </c>
      <c r="C37" s="6" t="s">
        <v>260</v>
      </c>
      <c r="D37" s="6" t="s">
        <v>261</v>
      </c>
      <c r="E37" s="6" t="s">
        <v>262</v>
      </c>
      <c r="F37" s="6" t="s">
        <v>263</v>
      </c>
      <c r="G37" s="6" t="s">
        <v>263</v>
      </c>
      <c r="H37" s="6" t="s">
        <v>99</v>
      </c>
      <c r="I37" s="6" t="s">
        <v>258</v>
      </c>
    </row>
    <row r="38" spans="1:9" x14ac:dyDescent="0.8">
      <c r="A38" s="9">
        <v>35</v>
      </c>
      <c r="B38" s="13" t="s">
        <v>264</v>
      </c>
      <c r="C38" s="6" t="s">
        <v>265</v>
      </c>
      <c r="D38" s="6" t="s">
        <v>266</v>
      </c>
      <c r="E38" s="6" t="s">
        <v>128</v>
      </c>
      <c r="F38" s="6" t="s">
        <v>267</v>
      </c>
      <c r="G38" s="6" t="s">
        <v>267</v>
      </c>
      <c r="H38" s="6" t="s">
        <v>99</v>
      </c>
      <c r="I38" s="6" t="s">
        <v>268</v>
      </c>
    </row>
    <row r="39" spans="1:9" x14ac:dyDescent="0.8">
      <c r="A39" s="9">
        <v>36</v>
      </c>
      <c r="B39" s="13" t="s">
        <v>269</v>
      </c>
      <c r="C39" s="6" t="s">
        <v>270</v>
      </c>
      <c r="D39" s="6" t="s">
        <v>271</v>
      </c>
      <c r="E39" s="6" t="s">
        <v>118</v>
      </c>
      <c r="F39" s="6" t="s">
        <v>272</v>
      </c>
      <c r="G39" s="6" t="s">
        <v>273</v>
      </c>
      <c r="H39" s="6" t="s">
        <v>99</v>
      </c>
      <c r="I39" s="6" t="s">
        <v>274</v>
      </c>
    </row>
    <row r="40" spans="1:9" x14ac:dyDescent="0.8">
      <c r="A40" s="9">
        <v>37</v>
      </c>
      <c r="B40" s="13" t="s">
        <v>275</v>
      </c>
      <c r="C40" s="6" t="s">
        <v>276</v>
      </c>
      <c r="D40" s="6" t="s">
        <v>277</v>
      </c>
      <c r="E40" s="6" t="s">
        <v>278</v>
      </c>
      <c r="F40" s="6" t="s">
        <v>279</v>
      </c>
      <c r="G40" s="6" t="s">
        <v>279</v>
      </c>
      <c r="H40" s="6" t="s">
        <v>99</v>
      </c>
      <c r="I40" s="6" t="s">
        <v>274</v>
      </c>
    </row>
    <row r="41" spans="1:9" x14ac:dyDescent="0.8">
      <c r="A41" s="9">
        <v>38</v>
      </c>
      <c r="B41" s="13" t="s">
        <v>280</v>
      </c>
      <c r="C41" s="6" t="s">
        <v>281</v>
      </c>
      <c r="D41" s="6" t="s">
        <v>282</v>
      </c>
      <c r="E41" s="6" t="s">
        <v>278</v>
      </c>
      <c r="F41" s="6" t="s">
        <v>283</v>
      </c>
      <c r="G41" s="6" t="s">
        <v>283</v>
      </c>
      <c r="H41" s="6" t="s">
        <v>99</v>
      </c>
      <c r="I41" s="6" t="s">
        <v>284</v>
      </c>
    </row>
    <row r="42" spans="1:9" x14ac:dyDescent="0.8">
      <c r="A42" s="9">
        <v>39</v>
      </c>
      <c r="B42" s="13" t="s">
        <v>285</v>
      </c>
      <c r="C42" s="6" t="s">
        <v>286</v>
      </c>
      <c r="D42" s="6" t="s">
        <v>287</v>
      </c>
      <c r="E42" s="6" t="s">
        <v>262</v>
      </c>
      <c r="F42" s="6" t="s">
        <v>288</v>
      </c>
      <c r="G42" s="6" t="s">
        <v>288</v>
      </c>
      <c r="H42" s="6" t="s">
        <v>99</v>
      </c>
      <c r="I42" s="6" t="s">
        <v>284</v>
      </c>
    </row>
    <row r="43" spans="1:9" x14ac:dyDescent="0.8">
      <c r="A43" s="9">
        <v>40</v>
      </c>
      <c r="B43" s="13" t="s">
        <v>289</v>
      </c>
      <c r="C43" s="6" t="s">
        <v>290</v>
      </c>
      <c r="D43" s="6" t="s">
        <v>291</v>
      </c>
      <c r="E43" s="6" t="s">
        <v>104</v>
      </c>
      <c r="F43" s="6" t="s">
        <v>292</v>
      </c>
      <c r="G43" s="6" t="s">
        <v>292</v>
      </c>
      <c r="H43" s="6" t="s">
        <v>99</v>
      </c>
      <c r="I43" s="6" t="s">
        <v>284</v>
      </c>
    </row>
    <row r="44" spans="1:9" x14ac:dyDescent="0.8">
      <c r="A44" s="9">
        <v>41</v>
      </c>
      <c r="B44" s="13" t="s">
        <v>293</v>
      </c>
      <c r="C44" s="6" t="s">
        <v>294</v>
      </c>
      <c r="D44" s="6" t="s">
        <v>295</v>
      </c>
      <c r="E44" s="6" t="s">
        <v>296</v>
      </c>
      <c r="F44" s="36" t="s">
        <v>297</v>
      </c>
      <c r="G44" s="36" t="s">
        <v>297</v>
      </c>
      <c r="H44" s="6" t="s">
        <v>99</v>
      </c>
      <c r="I44" s="6" t="s">
        <v>69</v>
      </c>
    </row>
    <row r="45" spans="1:9" x14ac:dyDescent="0.8">
      <c r="A45" s="9">
        <v>42</v>
      </c>
      <c r="B45" s="13" t="s">
        <v>298</v>
      </c>
      <c r="F45" s="90"/>
      <c r="G45" s="90"/>
    </row>
    <row r="46" spans="1:9" x14ac:dyDescent="0.8">
      <c r="A46" s="9">
        <v>43</v>
      </c>
      <c r="B46" s="13" t="s">
        <v>299</v>
      </c>
      <c r="F46" s="90"/>
      <c r="G46" s="90"/>
    </row>
    <row r="48" spans="1:9" x14ac:dyDescent="0.8">
      <c r="A48" s="132" t="s">
        <v>300</v>
      </c>
      <c r="B48" s="132"/>
      <c r="C48" s="132"/>
      <c r="D48" s="132"/>
      <c r="E48" s="132"/>
      <c r="F48" s="132"/>
      <c r="G48" s="132"/>
      <c r="H48" s="132"/>
      <c r="I48" s="132"/>
    </row>
    <row r="49" spans="1:9" s="9" customFormat="1" x14ac:dyDescent="0.8">
      <c r="A49" s="10" t="s">
        <v>55</v>
      </c>
      <c r="B49" s="10" t="s">
        <v>56</v>
      </c>
      <c r="C49" s="10" t="s">
        <v>57</v>
      </c>
      <c r="D49" s="10" t="s">
        <v>58</v>
      </c>
      <c r="E49" s="10" t="s">
        <v>92</v>
      </c>
      <c r="F49" s="10" t="s">
        <v>60</v>
      </c>
      <c r="G49" s="10" t="s">
        <v>61</v>
      </c>
      <c r="H49" s="10" t="s">
        <v>62</v>
      </c>
      <c r="I49" s="10" t="s">
        <v>63</v>
      </c>
    </row>
    <row r="50" spans="1:9" x14ac:dyDescent="0.8">
      <c r="A50" s="9">
        <v>1</v>
      </c>
      <c r="B50" s="6" t="s">
        <v>301</v>
      </c>
      <c r="C50" s="6" t="s">
        <v>302</v>
      </c>
      <c r="D50" s="6" t="s">
        <v>303</v>
      </c>
      <c r="E50" s="6" t="s">
        <v>104</v>
      </c>
      <c r="F50" s="6" t="s">
        <v>304</v>
      </c>
      <c r="G50" s="6" t="s">
        <v>304</v>
      </c>
      <c r="H50" s="6" t="s">
        <v>305</v>
      </c>
      <c r="I50" s="6" t="s">
        <v>69</v>
      </c>
    </row>
    <row r="51" spans="1:9" x14ac:dyDescent="0.8">
      <c r="A51" s="9">
        <v>2</v>
      </c>
      <c r="B51" s="6" t="s">
        <v>306</v>
      </c>
      <c r="C51" s="6" t="s">
        <v>307</v>
      </c>
      <c r="D51" s="6" t="s">
        <v>308</v>
      </c>
      <c r="E51" s="6" t="s">
        <v>262</v>
      </c>
      <c r="F51" s="6" t="s">
        <v>309</v>
      </c>
      <c r="G51" s="6" t="s">
        <v>310</v>
      </c>
      <c r="H51" s="6" t="s">
        <v>305</v>
      </c>
      <c r="I51" s="6" t="s">
        <v>69</v>
      </c>
    </row>
    <row r="52" spans="1:9" x14ac:dyDescent="0.8">
      <c r="A52" s="9">
        <v>3</v>
      </c>
      <c r="B52" s="6" t="s">
        <v>311</v>
      </c>
      <c r="C52" s="6" t="s">
        <v>312</v>
      </c>
      <c r="D52" s="6" t="s">
        <v>313</v>
      </c>
      <c r="E52" s="6" t="s">
        <v>128</v>
      </c>
      <c r="F52" s="6" t="s">
        <v>314</v>
      </c>
      <c r="G52" s="6" t="s">
        <v>314</v>
      </c>
      <c r="H52" s="6" t="s">
        <v>305</v>
      </c>
      <c r="I52" s="6" t="s">
        <v>69</v>
      </c>
    </row>
    <row r="53" spans="1:9" x14ac:dyDescent="0.8">
      <c r="A53" s="9">
        <v>4</v>
      </c>
      <c r="B53" s="6" t="s">
        <v>315</v>
      </c>
      <c r="C53" s="6" t="s">
        <v>316</v>
      </c>
      <c r="D53" s="6" t="s">
        <v>317</v>
      </c>
      <c r="E53" s="6" t="s">
        <v>128</v>
      </c>
      <c r="F53" s="6" t="s">
        <v>318</v>
      </c>
      <c r="G53" s="6" t="s">
        <v>318</v>
      </c>
      <c r="H53" s="6" t="s">
        <v>305</v>
      </c>
      <c r="I53" s="6" t="s">
        <v>69</v>
      </c>
    </row>
    <row r="54" spans="1:9" x14ac:dyDescent="0.8">
      <c r="A54" s="9">
        <v>5</v>
      </c>
      <c r="B54" s="6" t="s">
        <v>319</v>
      </c>
      <c r="C54" s="6" t="s">
        <v>320</v>
      </c>
      <c r="D54" s="6" t="s">
        <v>321</v>
      </c>
      <c r="E54" s="6" t="s">
        <v>170</v>
      </c>
      <c r="F54" s="6" t="s">
        <v>322</v>
      </c>
      <c r="G54" s="6" t="s">
        <v>323</v>
      </c>
      <c r="H54" s="6" t="s">
        <v>305</v>
      </c>
      <c r="I54" s="6" t="s">
        <v>69</v>
      </c>
    </row>
    <row r="55" spans="1:9" x14ac:dyDescent="0.8">
      <c r="A55" s="9">
        <v>6</v>
      </c>
      <c r="B55" s="6" t="s">
        <v>324</v>
      </c>
      <c r="C55" s="6" t="s">
        <v>325</v>
      </c>
      <c r="D55" s="6" t="s">
        <v>326</v>
      </c>
      <c r="E55" s="6" t="s">
        <v>170</v>
      </c>
      <c r="F55" s="6" t="s">
        <v>327</v>
      </c>
      <c r="G55" s="6" t="s">
        <v>327</v>
      </c>
      <c r="H55" s="6" t="s">
        <v>305</v>
      </c>
      <c r="I55" s="6" t="s">
        <v>69</v>
      </c>
    </row>
    <row r="56" spans="1:9" x14ac:dyDescent="0.8">
      <c r="A56" s="9">
        <v>7</v>
      </c>
      <c r="B56" s="39" t="s">
        <v>328</v>
      </c>
      <c r="C56" s="6" t="s">
        <v>329</v>
      </c>
      <c r="E56" s="40" t="s">
        <v>118</v>
      </c>
      <c r="G56" s="36" t="s">
        <v>330</v>
      </c>
      <c r="H56" s="6" t="s">
        <v>305</v>
      </c>
      <c r="I56" s="6" t="s">
        <v>69</v>
      </c>
    </row>
    <row r="57" spans="1:9" x14ac:dyDescent="0.8">
      <c r="A57" s="9">
        <v>8</v>
      </c>
      <c r="B57" s="6" t="s">
        <v>331</v>
      </c>
      <c r="C57" s="6" t="s">
        <v>332</v>
      </c>
      <c r="D57" s="6" t="s">
        <v>333</v>
      </c>
      <c r="E57" s="6" t="s">
        <v>128</v>
      </c>
      <c r="F57" s="6" t="s">
        <v>334</v>
      </c>
      <c r="G57" s="6" t="s">
        <v>335</v>
      </c>
      <c r="H57" s="6" t="s">
        <v>305</v>
      </c>
      <c r="I57" s="6" t="s">
        <v>69</v>
      </c>
    </row>
    <row r="58" spans="1:9" x14ac:dyDescent="0.8">
      <c r="A58" s="9">
        <v>9</v>
      </c>
      <c r="B58" s="6" t="s">
        <v>336</v>
      </c>
      <c r="C58" s="6" t="s">
        <v>337</v>
      </c>
      <c r="D58" s="6" t="s">
        <v>338</v>
      </c>
      <c r="E58" s="6" t="s">
        <v>170</v>
      </c>
      <c r="F58" s="6" t="s">
        <v>339</v>
      </c>
      <c r="G58" s="6" t="s">
        <v>339</v>
      </c>
      <c r="H58" s="6" t="s">
        <v>305</v>
      </c>
      <c r="I58" s="6" t="s">
        <v>146</v>
      </c>
    </row>
    <row r="59" spans="1:9" x14ac:dyDescent="0.8">
      <c r="A59" s="9">
        <v>10</v>
      </c>
      <c r="B59" s="6" t="s">
        <v>340</v>
      </c>
      <c r="C59" s="6" t="s">
        <v>341</v>
      </c>
      <c r="D59" s="6" t="s">
        <v>342</v>
      </c>
      <c r="E59" s="6" t="s">
        <v>170</v>
      </c>
      <c r="F59" s="6" t="s">
        <v>343</v>
      </c>
      <c r="G59" s="6" t="s">
        <v>343</v>
      </c>
      <c r="H59" s="6" t="s">
        <v>305</v>
      </c>
      <c r="I59" s="6" t="s">
        <v>146</v>
      </c>
    </row>
    <row r="60" spans="1:9" x14ac:dyDescent="0.8">
      <c r="A60" s="9">
        <v>11</v>
      </c>
      <c r="B60" s="6" t="s">
        <v>344</v>
      </c>
      <c r="C60" s="6" t="s">
        <v>345</v>
      </c>
      <c r="D60" s="6" t="s">
        <v>346</v>
      </c>
      <c r="E60" s="6" t="s">
        <v>128</v>
      </c>
      <c r="F60" s="6" t="s">
        <v>347</v>
      </c>
      <c r="G60" s="6" t="s">
        <v>348</v>
      </c>
      <c r="H60" s="6" t="s">
        <v>305</v>
      </c>
      <c r="I60" s="6" t="s">
        <v>173</v>
      </c>
    </row>
    <row r="61" spans="1:9" x14ac:dyDescent="0.8">
      <c r="A61" s="9">
        <v>12</v>
      </c>
      <c r="B61" s="6" t="s">
        <v>349</v>
      </c>
      <c r="C61" s="6" t="s">
        <v>350</v>
      </c>
      <c r="D61" s="6" t="s">
        <v>351</v>
      </c>
      <c r="E61" s="6" t="s">
        <v>128</v>
      </c>
      <c r="F61" s="6" t="s">
        <v>352</v>
      </c>
      <c r="G61" s="6" t="s">
        <v>352</v>
      </c>
      <c r="H61" s="6" t="s">
        <v>305</v>
      </c>
      <c r="I61" s="6" t="s">
        <v>179</v>
      </c>
    </row>
    <row r="62" spans="1:9" x14ac:dyDescent="0.8">
      <c r="A62" s="9">
        <v>13</v>
      </c>
      <c r="B62" s="6" t="s">
        <v>353</v>
      </c>
      <c r="C62" s="6" t="s">
        <v>354</v>
      </c>
      <c r="D62" s="6" t="s">
        <v>355</v>
      </c>
      <c r="E62" s="6" t="s">
        <v>104</v>
      </c>
      <c r="F62" s="6" t="s">
        <v>356</v>
      </c>
      <c r="G62" s="6" t="s">
        <v>357</v>
      </c>
      <c r="H62" s="6" t="s">
        <v>305</v>
      </c>
      <c r="I62" s="6" t="s">
        <v>219</v>
      </c>
    </row>
    <row r="63" spans="1:9" x14ac:dyDescent="0.8">
      <c r="A63" s="9">
        <v>14</v>
      </c>
      <c r="B63" s="6" t="s">
        <v>358</v>
      </c>
      <c r="C63" s="6" t="s">
        <v>359</v>
      </c>
      <c r="D63" s="6" t="s">
        <v>360</v>
      </c>
      <c r="E63" s="6" t="s">
        <v>128</v>
      </c>
      <c r="F63" s="6" t="s">
        <v>361</v>
      </c>
      <c r="G63" s="6" t="s">
        <v>362</v>
      </c>
      <c r="H63" s="6" t="s">
        <v>305</v>
      </c>
      <c r="I63" s="6" t="s">
        <v>219</v>
      </c>
    </row>
    <row r="64" spans="1:9" x14ac:dyDescent="0.8">
      <c r="A64" s="9">
        <v>15</v>
      </c>
      <c r="B64" s="6" t="s">
        <v>363</v>
      </c>
      <c r="C64" s="6" t="s">
        <v>364</v>
      </c>
      <c r="D64" s="6" t="s">
        <v>365</v>
      </c>
      <c r="E64" s="6" t="s">
        <v>366</v>
      </c>
      <c r="F64" s="6" t="s">
        <v>367</v>
      </c>
      <c r="G64" s="6" t="s">
        <v>367</v>
      </c>
      <c r="H64" s="6" t="s">
        <v>305</v>
      </c>
      <c r="I64" s="6" t="s">
        <v>219</v>
      </c>
    </row>
    <row r="65" spans="1:9" x14ac:dyDescent="0.8">
      <c r="A65" s="9">
        <v>16</v>
      </c>
      <c r="B65" s="6" t="s">
        <v>368</v>
      </c>
      <c r="C65" s="6" t="s">
        <v>369</v>
      </c>
      <c r="D65" s="6" t="s">
        <v>370</v>
      </c>
      <c r="E65" s="6" t="s">
        <v>128</v>
      </c>
      <c r="F65" s="6" t="s">
        <v>371</v>
      </c>
      <c r="G65" s="6" t="s">
        <v>371</v>
      </c>
      <c r="H65" s="6" t="s">
        <v>305</v>
      </c>
      <c r="I65" s="6" t="s">
        <v>234</v>
      </c>
    </row>
    <row r="66" spans="1:9" x14ac:dyDescent="0.8">
      <c r="A66" s="9">
        <v>17</v>
      </c>
      <c r="B66" s="6" t="s">
        <v>372</v>
      </c>
      <c r="C66" s="6" t="s">
        <v>373</v>
      </c>
      <c r="D66" s="6" t="s">
        <v>374</v>
      </c>
      <c r="E66" s="6" t="s">
        <v>170</v>
      </c>
      <c r="F66" s="6" t="s">
        <v>375</v>
      </c>
      <c r="G66" s="6" t="s">
        <v>376</v>
      </c>
      <c r="H66" s="6" t="s">
        <v>305</v>
      </c>
      <c r="I66" s="6" t="s">
        <v>258</v>
      </c>
    </row>
    <row r="67" spans="1:9" x14ac:dyDescent="0.8">
      <c r="A67" s="9">
        <v>18</v>
      </c>
      <c r="B67" s="6" t="s">
        <v>377</v>
      </c>
      <c r="C67" s="6" t="s">
        <v>378</v>
      </c>
      <c r="D67" s="6" t="s">
        <v>379</v>
      </c>
      <c r="E67" s="6" t="s">
        <v>128</v>
      </c>
      <c r="F67" s="6" t="s">
        <v>380</v>
      </c>
      <c r="G67" s="6" t="s">
        <v>381</v>
      </c>
      <c r="H67" s="6" t="s">
        <v>305</v>
      </c>
      <c r="I67" s="6" t="s">
        <v>258</v>
      </c>
    </row>
    <row r="68" spans="1:9" x14ac:dyDescent="0.8">
      <c r="A68" s="9">
        <v>19</v>
      </c>
      <c r="B68" s="6" t="s">
        <v>382</v>
      </c>
      <c r="C68" s="6" t="s">
        <v>383</v>
      </c>
      <c r="D68" s="6" t="s">
        <v>384</v>
      </c>
      <c r="E68" s="6" t="s">
        <v>128</v>
      </c>
      <c r="F68" s="6" t="s">
        <v>385</v>
      </c>
      <c r="G68" s="6" t="s">
        <v>385</v>
      </c>
      <c r="H68" s="6" t="s">
        <v>305</v>
      </c>
      <c r="I68" s="6" t="s">
        <v>268</v>
      </c>
    </row>
    <row r="69" spans="1:9" x14ac:dyDescent="0.8">
      <c r="A69" s="9">
        <v>20</v>
      </c>
      <c r="B69" s="6" t="s">
        <v>386</v>
      </c>
      <c r="C69" s="6" t="s">
        <v>387</v>
      </c>
      <c r="D69" s="6" t="s">
        <v>388</v>
      </c>
      <c r="E69" s="6" t="s">
        <v>128</v>
      </c>
      <c r="F69" s="6" t="s">
        <v>389</v>
      </c>
      <c r="G69" s="6" t="s">
        <v>389</v>
      </c>
      <c r="H69" s="6" t="s">
        <v>305</v>
      </c>
      <c r="I69" s="6" t="s">
        <v>274</v>
      </c>
    </row>
    <row r="70" spans="1:9" x14ac:dyDescent="0.8">
      <c r="A70" s="133" t="s">
        <v>85</v>
      </c>
      <c r="B70" s="133"/>
      <c r="C70" s="133" t="s">
        <v>86</v>
      </c>
      <c r="D70" s="133"/>
    </row>
    <row r="71" spans="1:9" x14ac:dyDescent="0.8">
      <c r="A71" s="129" t="s">
        <v>87</v>
      </c>
      <c r="B71" s="129"/>
      <c r="C71" s="129">
        <f>COUNTIFS(Table1[Assigned users],"&lt;&gt;ว่าง") + COUNTIFS(Table2[Assigned users],"&lt;&gt;;ว่าง")</f>
        <v>63</v>
      </c>
      <c r="D71" s="129"/>
    </row>
    <row r="72" spans="1:9" x14ac:dyDescent="0.8">
      <c r="A72" s="129" t="s">
        <v>88</v>
      </c>
      <c r="B72" s="129"/>
      <c r="C72" s="130">
        <f>COUNTIF(B4:B46,"ว่าง") + COUNTIF(Table2[Assigned users],"ว่าง")</f>
        <v>0</v>
      </c>
      <c r="D72" s="131"/>
    </row>
    <row r="73" spans="1:9" x14ac:dyDescent="0.8">
      <c r="A73" s="129" t="s">
        <v>89</v>
      </c>
      <c r="B73" s="129"/>
      <c r="C73" s="129">
        <f>SUM(C71:C72)</f>
        <v>63</v>
      </c>
      <c r="D73" s="129"/>
    </row>
  </sheetData>
  <mergeCells count="11">
    <mergeCell ref="A1:I1"/>
    <mergeCell ref="A48:I48"/>
    <mergeCell ref="A2:I2"/>
    <mergeCell ref="A70:B70"/>
    <mergeCell ref="C70:D70"/>
    <mergeCell ref="A71:B71"/>
    <mergeCell ref="C71:D71"/>
    <mergeCell ref="A72:B72"/>
    <mergeCell ref="C72:D72"/>
    <mergeCell ref="A73:B73"/>
    <mergeCell ref="C73:D73"/>
  </mergeCells>
  <conditionalFormatting sqref="B70:B73">
    <cfRule type="duplicateValues" dxfId="26" priority="1"/>
    <cfRule type="duplicateValues" dxfId="25" priority="2"/>
  </conditionalFormatting>
  <conditionalFormatting sqref="C70:D70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{E2DC16F4-BDE8-44CE-B8DE-26B2C68166A8}</x14:id>
        </ext>
      </extLst>
    </cfRule>
  </conditionalFormatting>
  <hyperlinks>
    <hyperlink ref="G44" r:id="rId1" xr:uid="{2BFA915B-A757-4E9B-93FC-B4956886774E}"/>
    <hyperlink ref="F44" r:id="rId2" xr:uid="{3DA91782-5222-4F5C-A74F-115936179692}"/>
    <hyperlink ref="G56" r:id="rId3" xr:uid="{BB93100A-0FE1-427F-8C88-6E466E87C39D}"/>
    <hyperlink ref="G4" r:id="rId4" xr:uid="{6B871602-3E57-49FB-85D3-B977678EA07B}"/>
  </hyperlinks>
  <pageMargins left="0.7" right="0.7" top="0.75" bottom="0.75" header="0.3" footer="0.3"/>
  <drawing r:id="rId5"/>
  <tableParts count="2"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DC16F4-BDE8-44CE-B8DE-26B2C68166A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C70:D70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E691-49BF-4757-9697-16D1BB471D03}">
  <dimension ref="A1:I69"/>
  <sheetViews>
    <sheetView topLeftCell="A47" workbookViewId="0">
      <selection activeCell="I70" sqref="I70"/>
    </sheetView>
  </sheetViews>
  <sheetFormatPr defaultRowHeight="13.8" x14ac:dyDescent="0.25"/>
  <cols>
    <col min="1" max="1" width="8.5" bestFit="1" customWidth="1"/>
    <col min="2" max="3" width="29.8984375" bestFit="1" customWidth="1"/>
    <col min="4" max="4" width="13.5" bestFit="1" customWidth="1"/>
    <col min="5" max="5" width="33.59765625" bestFit="1" customWidth="1"/>
    <col min="6" max="6" width="30.09765625" bestFit="1" customWidth="1"/>
    <col min="7" max="7" width="29.59765625" bestFit="1" customWidth="1"/>
    <col min="8" max="8" width="11.09765625" bestFit="1" customWidth="1"/>
    <col min="9" max="9" width="24.69921875" bestFit="1" customWidth="1"/>
  </cols>
  <sheetData>
    <row r="1" spans="1:9" ht="27.6" x14ac:dyDescent="0.8">
      <c r="A1" s="132" t="s">
        <v>90</v>
      </c>
      <c r="B1" s="132"/>
      <c r="C1" s="132"/>
      <c r="D1" s="132"/>
      <c r="E1" s="132"/>
      <c r="F1" s="132"/>
      <c r="G1" s="132"/>
      <c r="H1" s="132"/>
      <c r="I1" s="132"/>
    </row>
    <row r="2" spans="1:9" ht="27.6" x14ac:dyDescent="0.8">
      <c r="A2" s="132" t="s">
        <v>91</v>
      </c>
      <c r="B2" s="132"/>
      <c r="C2" s="132"/>
      <c r="D2" s="132"/>
      <c r="E2" s="132"/>
      <c r="F2" s="132"/>
      <c r="G2" s="132"/>
      <c r="H2" s="132"/>
      <c r="I2" s="132"/>
    </row>
    <row r="3" spans="1:9" ht="26.4" x14ac:dyDescent="0.25">
      <c r="A3" s="7" t="s">
        <v>55</v>
      </c>
      <c r="B3" s="7" t="s">
        <v>56</v>
      </c>
      <c r="C3" s="7" t="s">
        <v>57</v>
      </c>
      <c r="D3" s="7" t="s">
        <v>58</v>
      </c>
      <c r="E3" s="7" t="s">
        <v>92</v>
      </c>
      <c r="F3" s="7" t="s">
        <v>60</v>
      </c>
      <c r="G3" s="7" t="s">
        <v>61</v>
      </c>
      <c r="H3" s="7" t="s">
        <v>62</v>
      </c>
      <c r="I3" s="7" t="s">
        <v>63</v>
      </c>
    </row>
    <row r="4" spans="1:9" ht="27.6" x14ac:dyDescent="0.8">
      <c r="A4" s="9">
        <v>1</v>
      </c>
      <c r="B4" s="13" t="s">
        <v>93</v>
      </c>
      <c r="C4" s="6" t="s">
        <v>94</v>
      </c>
      <c r="D4" s="6" t="s">
        <v>95</v>
      </c>
      <c r="E4" s="6" t="s">
        <v>96</v>
      </c>
      <c r="F4" s="6" t="s">
        <v>97</v>
      </c>
      <c r="G4" s="88" t="s">
        <v>98</v>
      </c>
      <c r="H4" s="6" t="s">
        <v>99</v>
      </c>
      <c r="I4" s="6" t="s">
        <v>100</v>
      </c>
    </row>
    <row r="5" spans="1:9" ht="27.6" x14ac:dyDescent="0.8">
      <c r="A5" s="9">
        <v>2</v>
      </c>
      <c r="B5" s="13" t="s">
        <v>101</v>
      </c>
      <c r="C5" s="6" t="s">
        <v>102</v>
      </c>
      <c r="D5" s="6" t="s">
        <v>103</v>
      </c>
      <c r="E5" s="6" t="s">
        <v>104</v>
      </c>
      <c r="F5" s="6" t="s">
        <v>105</v>
      </c>
      <c r="G5" s="6" t="s">
        <v>106</v>
      </c>
      <c r="H5" s="6" t="s">
        <v>99</v>
      </c>
      <c r="I5" s="6" t="s">
        <v>69</v>
      </c>
    </row>
    <row r="6" spans="1:9" ht="27.6" x14ac:dyDescent="0.8">
      <c r="A6" s="9">
        <v>3</v>
      </c>
      <c r="B6" s="13" t="s">
        <v>107</v>
      </c>
      <c r="C6" s="6" t="s">
        <v>108</v>
      </c>
      <c r="D6" s="6" t="s">
        <v>109</v>
      </c>
      <c r="E6" s="6" t="s">
        <v>110</v>
      </c>
      <c r="F6" s="6" t="s">
        <v>111</v>
      </c>
      <c r="G6" s="6" t="s">
        <v>111</v>
      </c>
      <c r="H6" s="6" t="s">
        <v>99</v>
      </c>
      <c r="I6" s="6" t="s">
        <v>69</v>
      </c>
    </row>
    <row r="7" spans="1:9" ht="27.6" x14ac:dyDescent="0.8">
      <c r="A7" s="9">
        <v>4</v>
      </c>
      <c r="B7" s="13" t="s">
        <v>70</v>
      </c>
      <c r="C7" s="6" t="s">
        <v>112</v>
      </c>
      <c r="D7" s="6" t="s">
        <v>72</v>
      </c>
      <c r="E7" s="6" t="s">
        <v>113</v>
      </c>
      <c r="F7" s="6" t="s">
        <v>74</v>
      </c>
      <c r="G7" s="6" t="s">
        <v>114</v>
      </c>
      <c r="H7" s="6" t="s">
        <v>99</v>
      </c>
      <c r="I7" s="6" t="s">
        <v>69</v>
      </c>
    </row>
    <row r="8" spans="1:9" ht="27.6" x14ac:dyDescent="0.8">
      <c r="A8" s="9">
        <v>5</v>
      </c>
      <c r="B8" s="13" t="s">
        <v>115</v>
      </c>
      <c r="C8" s="6" t="s">
        <v>116</v>
      </c>
      <c r="D8" s="6" t="s">
        <v>117</v>
      </c>
      <c r="E8" s="6" t="s">
        <v>118</v>
      </c>
      <c r="F8" s="6" t="s">
        <v>119</v>
      </c>
      <c r="G8" s="6" t="s">
        <v>119</v>
      </c>
      <c r="H8" s="6" t="s">
        <v>99</v>
      </c>
      <c r="I8" s="6" t="s">
        <v>69</v>
      </c>
    </row>
    <row r="9" spans="1:9" ht="27.6" x14ac:dyDescent="0.8">
      <c r="A9" s="9">
        <v>6</v>
      </c>
      <c r="B9" s="13" t="s">
        <v>120</v>
      </c>
      <c r="C9" s="6" t="s">
        <v>121</v>
      </c>
      <c r="D9" s="6" t="s">
        <v>122</v>
      </c>
      <c r="E9" s="6" t="s">
        <v>118</v>
      </c>
      <c r="F9" s="6" t="s">
        <v>123</v>
      </c>
      <c r="G9" s="6" t="s">
        <v>124</v>
      </c>
      <c r="H9" s="6" t="s">
        <v>99</v>
      </c>
      <c r="I9" s="6" t="s">
        <v>69</v>
      </c>
    </row>
    <row r="10" spans="1:9" ht="27.6" x14ac:dyDescent="0.8">
      <c r="A10" s="9">
        <v>7</v>
      </c>
      <c r="B10" s="13" t="s">
        <v>125</v>
      </c>
      <c r="C10" s="6" t="s">
        <v>126</v>
      </c>
      <c r="D10" s="6" t="s">
        <v>127</v>
      </c>
      <c r="E10" s="6" t="s">
        <v>128</v>
      </c>
      <c r="F10" s="6" t="s">
        <v>129</v>
      </c>
      <c r="G10" s="6" t="s">
        <v>130</v>
      </c>
      <c r="H10" s="6" t="s">
        <v>99</v>
      </c>
      <c r="I10" s="6" t="s">
        <v>69</v>
      </c>
    </row>
    <row r="11" spans="1:9" ht="27.6" x14ac:dyDescent="0.8">
      <c r="A11" s="9">
        <v>8</v>
      </c>
      <c r="B11" s="13" t="s">
        <v>131</v>
      </c>
      <c r="C11" s="6" t="s">
        <v>132</v>
      </c>
      <c r="D11" s="6" t="s">
        <v>133</v>
      </c>
      <c r="E11" s="6" t="s">
        <v>134</v>
      </c>
      <c r="F11" s="6" t="s">
        <v>135</v>
      </c>
      <c r="G11" s="6" t="s">
        <v>135</v>
      </c>
      <c r="H11" s="6" t="s">
        <v>99</v>
      </c>
      <c r="I11" s="6" t="s">
        <v>69</v>
      </c>
    </row>
    <row r="12" spans="1:9" ht="27.6" x14ac:dyDescent="0.8">
      <c r="A12" s="9">
        <v>9</v>
      </c>
      <c r="B12" s="13" t="s">
        <v>136</v>
      </c>
      <c r="C12" s="6" t="s">
        <v>137</v>
      </c>
      <c r="D12" s="6" t="s">
        <v>138</v>
      </c>
      <c r="E12" s="6" t="s">
        <v>128</v>
      </c>
      <c r="F12" s="6" t="s">
        <v>139</v>
      </c>
      <c r="G12" s="6" t="s">
        <v>139</v>
      </c>
      <c r="H12" s="6" t="s">
        <v>99</v>
      </c>
      <c r="I12" s="6" t="s">
        <v>140</v>
      </c>
    </row>
    <row r="13" spans="1:9" ht="27.6" x14ac:dyDescent="0.8">
      <c r="A13" s="9">
        <v>10</v>
      </c>
      <c r="B13" s="13" t="s">
        <v>141</v>
      </c>
      <c r="C13" s="6" t="s">
        <v>142</v>
      </c>
      <c r="D13" s="6" t="s">
        <v>143</v>
      </c>
      <c r="E13" s="6" t="s">
        <v>144</v>
      </c>
      <c r="F13" s="6" t="s">
        <v>145</v>
      </c>
      <c r="G13" s="6" t="s">
        <v>145</v>
      </c>
      <c r="H13" s="6" t="s">
        <v>99</v>
      </c>
      <c r="I13" s="6" t="s">
        <v>146</v>
      </c>
    </row>
    <row r="14" spans="1:9" ht="27.6" x14ac:dyDescent="0.8">
      <c r="A14" s="9">
        <v>11</v>
      </c>
      <c r="B14" s="13" t="s">
        <v>147</v>
      </c>
      <c r="C14" s="6" t="s">
        <v>148</v>
      </c>
      <c r="D14" s="6" t="s">
        <v>149</v>
      </c>
      <c r="E14" s="6" t="s">
        <v>150</v>
      </c>
      <c r="F14" s="6" t="s">
        <v>151</v>
      </c>
      <c r="G14" s="6" t="s">
        <v>151</v>
      </c>
      <c r="H14" s="6" t="s">
        <v>99</v>
      </c>
      <c r="I14" s="6" t="s">
        <v>146</v>
      </c>
    </row>
    <row r="15" spans="1:9" ht="27.6" x14ac:dyDescent="0.8">
      <c r="A15" s="9">
        <v>12</v>
      </c>
      <c r="B15" s="13" t="s">
        <v>152</v>
      </c>
      <c r="C15" s="6" t="s">
        <v>153</v>
      </c>
      <c r="D15" s="6" t="s">
        <v>154</v>
      </c>
      <c r="E15" s="6" t="s">
        <v>155</v>
      </c>
      <c r="F15" s="6" t="s">
        <v>156</v>
      </c>
      <c r="G15" s="6" t="s">
        <v>156</v>
      </c>
      <c r="H15" s="6" t="s">
        <v>99</v>
      </c>
      <c r="I15" s="6" t="s">
        <v>146</v>
      </c>
    </row>
    <row r="16" spans="1:9" ht="27.6" x14ac:dyDescent="0.8">
      <c r="A16" s="9">
        <v>13</v>
      </c>
      <c r="B16" s="13" t="s">
        <v>157</v>
      </c>
      <c r="C16" s="6" t="s">
        <v>158</v>
      </c>
      <c r="D16" s="6" t="s">
        <v>159</v>
      </c>
      <c r="E16" s="6" t="s">
        <v>160</v>
      </c>
      <c r="F16" s="6" t="s">
        <v>161</v>
      </c>
      <c r="G16" s="6" t="s">
        <v>161</v>
      </c>
      <c r="H16" s="6" t="s">
        <v>99</v>
      </c>
      <c r="I16" s="6" t="s">
        <v>146</v>
      </c>
    </row>
    <row r="17" spans="1:9" ht="27.6" x14ac:dyDescent="0.8">
      <c r="A17" s="9">
        <v>14</v>
      </c>
      <c r="B17" s="13" t="s">
        <v>162</v>
      </c>
      <c r="C17" s="6" t="s">
        <v>163</v>
      </c>
      <c r="D17" s="6" t="s">
        <v>164</v>
      </c>
      <c r="E17" s="6" t="s">
        <v>128</v>
      </c>
      <c r="F17" s="6" t="s">
        <v>165</v>
      </c>
      <c r="G17" s="6" t="s">
        <v>166</v>
      </c>
      <c r="H17" s="6" t="s">
        <v>99</v>
      </c>
      <c r="I17" s="6" t="s">
        <v>146</v>
      </c>
    </row>
    <row r="18" spans="1:9" ht="27.6" x14ac:dyDescent="0.8">
      <c r="A18" s="9">
        <v>15</v>
      </c>
      <c r="B18" s="13" t="s">
        <v>167</v>
      </c>
      <c r="C18" s="6" t="s">
        <v>168</v>
      </c>
      <c r="D18" s="6" t="s">
        <v>169</v>
      </c>
      <c r="E18" s="6" t="s">
        <v>170</v>
      </c>
      <c r="F18" s="6" t="s">
        <v>171</v>
      </c>
      <c r="G18" s="6" t="s">
        <v>172</v>
      </c>
      <c r="H18" s="6" t="s">
        <v>99</v>
      </c>
      <c r="I18" s="6" t="s">
        <v>173</v>
      </c>
    </row>
    <row r="19" spans="1:9" ht="27.6" x14ac:dyDescent="0.8">
      <c r="A19" s="9">
        <v>16</v>
      </c>
      <c r="B19" s="13" t="s">
        <v>174</v>
      </c>
      <c r="C19" s="6" t="s">
        <v>175</v>
      </c>
      <c r="D19" s="6" t="s">
        <v>176</v>
      </c>
      <c r="E19" s="6" t="s">
        <v>128</v>
      </c>
      <c r="F19" s="6" t="s">
        <v>177</v>
      </c>
      <c r="G19" s="6" t="s">
        <v>178</v>
      </c>
      <c r="H19" s="6" t="s">
        <v>99</v>
      </c>
      <c r="I19" s="6" t="s">
        <v>179</v>
      </c>
    </row>
    <row r="20" spans="1:9" ht="27.6" x14ac:dyDescent="0.8">
      <c r="A20" s="9">
        <v>17</v>
      </c>
      <c r="B20" s="13" t="s">
        <v>180</v>
      </c>
      <c r="C20" s="6" t="s">
        <v>181</v>
      </c>
      <c r="D20" s="6" t="s">
        <v>182</v>
      </c>
      <c r="E20" s="6" t="s">
        <v>128</v>
      </c>
      <c r="F20" s="6" t="s">
        <v>183</v>
      </c>
      <c r="G20" s="6" t="s">
        <v>183</v>
      </c>
      <c r="H20" s="6" t="s">
        <v>99</v>
      </c>
      <c r="I20" s="6" t="s">
        <v>179</v>
      </c>
    </row>
    <row r="21" spans="1:9" ht="27.6" x14ac:dyDescent="0.8">
      <c r="A21" s="9">
        <v>18</v>
      </c>
      <c r="B21" s="13" t="s">
        <v>184</v>
      </c>
      <c r="C21" s="6" t="s">
        <v>185</v>
      </c>
      <c r="D21" s="6" t="s">
        <v>186</v>
      </c>
      <c r="E21" s="6" t="s">
        <v>155</v>
      </c>
      <c r="F21" s="6" t="s">
        <v>187</v>
      </c>
      <c r="G21" s="6" t="s">
        <v>187</v>
      </c>
      <c r="H21" s="6" t="s">
        <v>99</v>
      </c>
      <c r="I21" s="6" t="s">
        <v>179</v>
      </c>
    </row>
    <row r="22" spans="1:9" ht="27.6" x14ac:dyDescent="0.8">
      <c r="A22" s="9">
        <v>19</v>
      </c>
      <c r="B22" s="13" t="s">
        <v>188</v>
      </c>
      <c r="C22" s="6" t="s">
        <v>189</v>
      </c>
      <c r="D22" s="6" t="s">
        <v>190</v>
      </c>
      <c r="E22" s="6" t="s">
        <v>155</v>
      </c>
      <c r="F22" s="6" t="s">
        <v>191</v>
      </c>
      <c r="G22" s="6" t="s">
        <v>191</v>
      </c>
      <c r="H22" s="6" t="s">
        <v>99</v>
      </c>
      <c r="I22" s="6" t="s">
        <v>179</v>
      </c>
    </row>
    <row r="23" spans="1:9" ht="27.6" x14ac:dyDescent="0.8">
      <c r="A23" s="9">
        <v>20</v>
      </c>
      <c r="B23" s="13" t="s">
        <v>192</v>
      </c>
      <c r="C23" s="6" t="s">
        <v>193</v>
      </c>
      <c r="D23" s="6" t="s">
        <v>194</v>
      </c>
      <c r="E23" s="6" t="s">
        <v>155</v>
      </c>
      <c r="F23" s="6" t="s">
        <v>195</v>
      </c>
      <c r="G23" s="6" t="s">
        <v>195</v>
      </c>
      <c r="H23" s="6" t="s">
        <v>99</v>
      </c>
      <c r="I23" s="6" t="s">
        <v>179</v>
      </c>
    </row>
    <row r="24" spans="1:9" ht="27.6" x14ac:dyDescent="0.8">
      <c r="A24" s="9">
        <v>21</v>
      </c>
      <c r="B24" s="13" t="s">
        <v>196</v>
      </c>
      <c r="C24" s="6" t="s">
        <v>197</v>
      </c>
      <c r="D24" s="6" t="s">
        <v>198</v>
      </c>
      <c r="E24" s="6" t="s">
        <v>128</v>
      </c>
      <c r="F24" s="6" t="s">
        <v>199</v>
      </c>
      <c r="G24" s="6" t="s">
        <v>200</v>
      </c>
      <c r="H24" s="6" t="s">
        <v>99</v>
      </c>
      <c r="I24" s="6" t="s">
        <v>179</v>
      </c>
    </row>
    <row r="25" spans="1:9" ht="27.6" x14ac:dyDescent="0.8">
      <c r="A25" s="9">
        <v>22</v>
      </c>
      <c r="B25" s="13" t="s">
        <v>201</v>
      </c>
      <c r="C25" s="6" t="s">
        <v>202</v>
      </c>
      <c r="D25" s="6" t="s">
        <v>203</v>
      </c>
      <c r="E25" s="6" t="s">
        <v>170</v>
      </c>
      <c r="F25" s="6" t="s">
        <v>204</v>
      </c>
      <c r="G25" s="6" t="s">
        <v>204</v>
      </c>
      <c r="H25" s="6" t="s">
        <v>99</v>
      </c>
      <c r="I25" s="6" t="s">
        <v>205</v>
      </c>
    </row>
    <row r="26" spans="1:9" ht="27.6" x14ac:dyDescent="0.8">
      <c r="A26" s="9">
        <v>23</v>
      </c>
      <c r="B26" s="13" t="s">
        <v>206</v>
      </c>
      <c r="C26" s="6" t="s">
        <v>207</v>
      </c>
      <c r="D26" s="6" t="s">
        <v>208</v>
      </c>
      <c r="E26" s="6" t="s">
        <v>104</v>
      </c>
      <c r="F26" s="6" t="s">
        <v>209</v>
      </c>
      <c r="G26" s="6" t="s">
        <v>209</v>
      </c>
      <c r="H26" s="6" t="s">
        <v>99</v>
      </c>
      <c r="I26" s="6" t="s">
        <v>205</v>
      </c>
    </row>
    <row r="27" spans="1:9" ht="27.6" x14ac:dyDescent="0.8">
      <c r="A27" s="9">
        <v>24</v>
      </c>
      <c r="B27" s="13" t="s">
        <v>210</v>
      </c>
      <c r="C27" s="6" t="s">
        <v>211</v>
      </c>
      <c r="D27" s="6" t="s">
        <v>212</v>
      </c>
      <c r="E27" s="6" t="s">
        <v>128</v>
      </c>
      <c r="F27" s="6" t="s">
        <v>213</v>
      </c>
      <c r="G27" s="6" t="s">
        <v>214</v>
      </c>
      <c r="H27" s="6" t="s">
        <v>99</v>
      </c>
      <c r="I27" s="6" t="s">
        <v>205</v>
      </c>
    </row>
    <row r="28" spans="1:9" ht="27.6" x14ac:dyDescent="0.8">
      <c r="A28" s="9">
        <v>25</v>
      </c>
      <c r="B28" s="13" t="s">
        <v>215</v>
      </c>
      <c r="C28" s="6" t="s">
        <v>216</v>
      </c>
      <c r="D28" s="6" t="s">
        <v>217</v>
      </c>
      <c r="E28" s="6" t="s">
        <v>128</v>
      </c>
      <c r="F28" s="6" t="s">
        <v>218</v>
      </c>
      <c r="G28" s="6" t="s">
        <v>218</v>
      </c>
      <c r="H28" s="6" t="s">
        <v>99</v>
      </c>
      <c r="I28" s="6" t="s">
        <v>219</v>
      </c>
    </row>
    <row r="29" spans="1:9" ht="27.6" x14ac:dyDescent="0.8">
      <c r="A29" s="9">
        <v>26</v>
      </c>
      <c r="B29" s="13" t="s">
        <v>220</v>
      </c>
      <c r="C29" s="6" t="s">
        <v>221</v>
      </c>
      <c r="D29" s="6" t="s">
        <v>222</v>
      </c>
      <c r="E29" s="6" t="s">
        <v>128</v>
      </c>
      <c r="F29" s="6" t="s">
        <v>223</v>
      </c>
      <c r="G29" s="6" t="s">
        <v>223</v>
      </c>
      <c r="H29" s="6" t="s">
        <v>99</v>
      </c>
      <c r="I29" s="6" t="s">
        <v>219</v>
      </c>
    </row>
    <row r="30" spans="1:9" ht="27.6" x14ac:dyDescent="0.8">
      <c r="A30" s="9">
        <v>27</v>
      </c>
      <c r="B30" s="13" t="s">
        <v>224</v>
      </c>
      <c r="C30" s="6" t="s">
        <v>225</v>
      </c>
      <c r="D30" s="6" t="s">
        <v>226</v>
      </c>
      <c r="E30" s="6" t="s">
        <v>227</v>
      </c>
      <c r="F30" s="6" t="s">
        <v>228</v>
      </c>
      <c r="G30" s="6" t="s">
        <v>228</v>
      </c>
      <c r="H30" s="6" t="s">
        <v>99</v>
      </c>
      <c r="I30" s="6" t="s">
        <v>219</v>
      </c>
    </row>
    <row r="31" spans="1:9" ht="27.6" x14ac:dyDescent="0.8">
      <c r="A31" s="9">
        <v>28</v>
      </c>
      <c r="B31" s="13" t="s">
        <v>229</v>
      </c>
      <c r="C31" s="6" t="s">
        <v>230</v>
      </c>
      <c r="D31" s="6" t="s">
        <v>231</v>
      </c>
      <c r="E31" s="6" t="s">
        <v>170</v>
      </c>
      <c r="F31" s="6" t="s">
        <v>232</v>
      </c>
      <c r="G31" s="6" t="s">
        <v>233</v>
      </c>
      <c r="H31" s="6" t="s">
        <v>99</v>
      </c>
      <c r="I31" s="6" t="s">
        <v>234</v>
      </c>
    </row>
    <row r="32" spans="1:9" ht="27.6" x14ac:dyDescent="0.8">
      <c r="A32" s="9">
        <v>29</v>
      </c>
      <c r="B32" s="13" t="s">
        <v>235</v>
      </c>
      <c r="C32" s="6" t="s">
        <v>236</v>
      </c>
      <c r="D32" s="6" t="s">
        <v>237</v>
      </c>
      <c r="E32" s="6" t="s">
        <v>128</v>
      </c>
      <c r="F32" s="6" t="s">
        <v>238</v>
      </c>
      <c r="G32" s="6" t="s">
        <v>238</v>
      </c>
      <c r="H32" s="6" t="s">
        <v>99</v>
      </c>
      <c r="I32" s="6" t="s">
        <v>234</v>
      </c>
    </row>
    <row r="33" spans="1:9" ht="27.6" x14ac:dyDescent="0.8">
      <c r="A33" s="9">
        <v>30</v>
      </c>
      <c r="B33" s="13" t="s">
        <v>239</v>
      </c>
      <c r="C33" s="6" t="s">
        <v>240</v>
      </c>
      <c r="D33" s="6" t="s">
        <v>241</v>
      </c>
      <c r="E33" s="6" t="s">
        <v>128</v>
      </c>
      <c r="F33" s="6" t="s">
        <v>242</v>
      </c>
      <c r="G33" s="6" t="s">
        <v>243</v>
      </c>
      <c r="H33" s="6" t="s">
        <v>99</v>
      </c>
      <c r="I33" s="6" t="s">
        <v>234</v>
      </c>
    </row>
    <row r="34" spans="1:9" ht="27.6" x14ac:dyDescent="0.8">
      <c r="A34" s="9">
        <v>31</v>
      </c>
      <c r="B34" s="13" t="s">
        <v>244</v>
      </c>
      <c r="C34" s="6" t="s">
        <v>245</v>
      </c>
      <c r="D34" s="6" t="s">
        <v>246</v>
      </c>
      <c r="E34" s="6" t="s">
        <v>128</v>
      </c>
      <c r="F34" s="6" t="s">
        <v>247</v>
      </c>
      <c r="G34" s="6" t="s">
        <v>248</v>
      </c>
      <c r="H34" s="6" t="s">
        <v>99</v>
      </c>
      <c r="I34" s="6" t="s">
        <v>234</v>
      </c>
    </row>
    <row r="35" spans="1:9" ht="27.6" x14ac:dyDescent="0.8">
      <c r="A35" s="9">
        <v>32</v>
      </c>
      <c r="B35" s="13" t="s">
        <v>249</v>
      </c>
      <c r="C35" s="6" t="s">
        <v>250</v>
      </c>
      <c r="D35" s="6" t="s">
        <v>251</v>
      </c>
      <c r="E35" s="6" t="s">
        <v>170</v>
      </c>
      <c r="F35" s="6" t="s">
        <v>252</v>
      </c>
      <c r="G35" s="6" t="s">
        <v>253</v>
      </c>
      <c r="H35" s="6" t="s">
        <v>99</v>
      </c>
      <c r="I35" s="6" t="s">
        <v>234</v>
      </c>
    </row>
    <row r="36" spans="1:9" ht="27.6" x14ac:dyDescent="0.8">
      <c r="A36" s="9">
        <v>33</v>
      </c>
      <c r="B36" s="13" t="s">
        <v>254</v>
      </c>
      <c r="C36" s="6" t="s">
        <v>255</v>
      </c>
      <c r="D36" s="6" t="s">
        <v>256</v>
      </c>
      <c r="E36" s="6" t="s">
        <v>128</v>
      </c>
      <c r="F36" s="6" t="s">
        <v>257</v>
      </c>
      <c r="G36" s="6" t="s">
        <v>257</v>
      </c>
      <c r="H36" s="6" t="s">
        <v>99</v>
      </c>
      <c r="I36" s="6" t="s">
        <v>258</v>
      </c>
    </row>
    <row r="37" spans="1:9" ht="27.6" x14ac:dyDescent="0.8">
      <c r="A37" s="9">
        <v>34</v>
      </c>
      <c r="B37" s="13" t="s">
        <v>259</v>
      </c>
      <c r="C37" s="6" t="s">
        <v>260</v>
      </c>
      <c r="D37" s="6" t="s">
        <v>261</v>
      </c>
      <c r="E37" s="6" t="s">
        <v>262</v>
      </c>
      <c r="F37" s="6" t="s">
        <v>263</v>
      </c>
      <c r="G37" s="6" t="s">
        <v>263</v>
      </c>
      <c r="H37" s="6" t="s">
        <v>99</v>
      </c>
      <c r="I37" s="6" t="s">
        <v>258</v>
      </c>
    </row>
    <row r="38" spans="1:9" ht="27.6" x14ac:dyDescent="0.8">
      <c r="A38" s="9">
        <v>35</v>
      </c>
      <c r="B38" s="13" t="s">
        <v>264</v>
      </c>
      <c r="C38" s="6" t="s">
        <v>265</v>
      </c>
      <c r="D38" s="6" t="s">
        <v>266</v>
      </c>
      <c r="E38" s="6" t="s">
        <v>128</v>
      </c>
      <c r="F38" s="6" t="s">
        <v>267</v>
      </c>
      <c r="G38" s="6" t="s">
        <v>267</v>
      </c>
      <c r="H38" s="6" t="s">
        <v>99</v>
      </c>
      <c r="I38" s="6" t="s">
        <v>268</v>
      </c>
    </row>
    <row r="39" spans="1:9" ht="27.6" x14ac:dyDescent="0.8">
      <c r="A39" s="9">
        <v>36</v>
      </c>
      <c r="B39" s="13" t="s">
        <v>269</v>
      </c>
      <c r="C39" s="6" t="s">
        <v>270</v>
      </c>
      <c r="D39" s="6" t="s">
        <v>271</v>
      </c>
      <c r="E39" s="6" t="s">
        <v>118</v>
      </c>
      <c r="F39" s="6" t="s">
        <v>272</v>
      </c>
      <c r="G39" s="6" t="s">
        <v>273</v>
      </c>
      <c r="H39" s="6" t="s">
        <v>99</v>
      </c>
      <c r="I39" s="6" t="s">
        <v>274</v>
      </c>
    </row>
    <row r="40" spans="1:9" ht="27.6" x14ac:dyDescent="0.8">
      <c r="A40" s="9">
        <v>37</v>
      </c>
      <c r="B40" s="13" t="s">
        <v>275</v>
      </c>
      <c r="C40" s="6" t="s">
        <v>276</v>
      </c>
      <c r="D40" s="6" t="s">
        <v>277</v>
      </c>
      <c r="E40" s="6" t="s">
        <v>278</v>
      </c>
      <c r="F40" s="6" t="s">
        <v>279</v>
      </c>
      <c r="G40" s="6" t="s">
        <v>279</v>
      </c>
      <c r="H40" s="6" t="s">
        <v>99</v>
      </c>
      <c r="I40" s="6" t="s">
        <v>274</v>
      </c>
    </row>
    <row r="41" spans="1:9" ht="27.6" x14ac:dyDescent="0.8">
      <c r="A41" s="9">
        <v>38</v>
      </c>
      <c r="B41" s="13" t="s">
        <v>280</v>
      </c>
      <c r="C41" s="6" t="s">
        <v>281</v>
      </c>
      <c r="D41" s="6" t="s">
        <v>282</v>
      </c>
      <c r="E41" s="6" t="s">
        <v>278</v>
      </c>
      <c r="F41" s="6" t="s">
        <v>283</v>
      </c>
      <c r="G41" s="6" t="s">
        <v>283</v>
      </c>
      <c r="H41" s="6" t="s">
        <v>99</v>
      </c>
      <c r="I41" s="6" t="s">
        <v>284</v>
      </c>
    </row>
    <row r="42" spans="1:9" ht="27.6" x14ac:dyDescent="0.8">
      <c r="A42" s="9">
        <v>39</v>
      </c>
      <c r="B42" s="13" t="s">
        <v>285</v>
      </c>
      <c r="C42" s="6" t="s">
        <v>286</v>
      </c>
      <c r="D42" s="6" t="s">
        <v>287</v>
      </c>
      <c r="E42" s="6" t="s">
        <v>262</v>
      </c>
      <c r="F42" s="6" t="s">
        <v>288</v>
      </c>
      <c r="G42" s="6" t="s">
        <v>288</v>
      </c>
      <c r="H42" s="6" t="s">
        <v>99</v>
      </c>
      <c r="I42" s="6" t="s">
        <v>284</v>
      </c>
    </row>
    <row r="43" spans="1:9" ht="27.6" x14ac:dyDescent="0.8">
      <c r="A43" s="9">
        <v>40</v>
      </c>
      <c r="B43" s="13" t="s">
        <v>289</v>
      </c>
      <c r="C43" s="6" t="s">
        <v>290</v>
      </c>
      <c r="D43" s="6" t="s">
        <v>291</v>
      </c>
      <c r="E43" s="6" t="s">
        <v>104</v>
      </c>
      <c r="F43" s="6" t="s">
        <v>292</v>
      </c>
      <c r="G43" s="6" t="s">
        <v>292</v>
      </c>
      <c r="H43" s="6" t="s">
        <v>99</v>
      </c>
      <c r="I43" s="6" t="s">
        <v>284</v>
      </c>
    </row>
    <row r="44" spans="1:9" ht="27.6" x14ac:dyDescent="0.8">
      <c r="A44" s="9">
        <v>41</v>
      </c>
      <c r="B44" s="13" t="s">
        <v>293</v>
      </c>
      <c r="C44" s="6" t="s">
        <v>294</v>
      </c>
      <c r="D44" s="6" t="s">
        <v>295</v>
      </c>
      <c r="E44" s="6" t="s">
        <v>296</v>
      </c>
      <c r="F44" s="36" t="s">
        <v>297</v>
      </c>
      <c r="G44" s="36" t="s">
        <v>297</v>
      </c>
      <c r="H44" s="6" t="s">
        <v>99</v>
      </c>
      <c r="I44" s="6" t="s">
        <v>69</v>
      </c>
    </row>
    <row r="45" spans="1:9" ht="27.6" x14ac:dyDescent="0.8">
      <c r="A45" s="9">
        <v>42</v>
      </c>
      <c r="B45" s="13" t="s">
        <v>301</v>
      </c>
      <c r="C45" s="6" t="s">
        <v>302</v>
      </c>
      <c r="D45" s="6" t="s">
        <v>303</v>
      </c>
      <c r="E45" s="6" t="s">
        <v>104</v>
      </c>
      <c r="F45" s="6" t="s">
        <v>304</v>
      </c>
      <c r="G45" s="6" t="s">
        <v>304</v>
      </c>
      <c r="H45" s="6" t="s">
        <v>305</v>
      </c>
      <c r="I45" s="6" t="s">
        <v>69</v>
      </c>
    </row>
    <row r="46" spans="1:9" ht="27.6" x14ac:dyDescent="0.8">
      <c r="A46" s="9">
        <v>43</v>
      </c>
      <c r="B46" s="13" t="s">
        <v>306</v>
      </c>
      <c r="C46" s="6" t="s">
        <v>307</v>
      </c>
      <c r="D46" s="6" t="s">
        <v>308</v>
      </c>
      <c r="E46" s="6" t="s">
        <v>262</v>
      </c>
      <c r="F46" s="6" t="s">
        <v>309</v>
      </c>
      <c r="G46" s="6" t="s">
        <v>310</v>
      </c>
      <c r="H46" s="6" t="s">
        <v>305</v>
      </c>
      <c r="I46" s="6" t="s">
        <v>69</v>
      </c>
    </row>
    <row r="47" spans="1:9" ht="27.6" x14ac:dyDescent="0.8">
      <c r="A47" s="9">
        <v>44</v>
      </c>
      <c r="B47" s="13" t="s">
        <v>311</v>
      </c>
      <c r="C47" s="6" t="s">
        <v>312</v>
      </c>
      <c r="D47" s="6" t="s">
        <v>313</v>
      </c>
      <c r="E47" s="6" t="s">
        <v>128</v>
      </c>
      <c r="F47" s="6" t="s">
        <v>314</v>
      </c>
      <c r="G47" s="6" t="s">
        <v>314</v>
      </c>
      <c r="H47" s="6" t="s">
        <v>305</v>
      </c>
      <c r="I47" s="6" t="s">
        <v>69</v>
      </c>
    </row>
    <row r="48" spans="1:9" ht="27.6" x14ac:dyDescent="0.8">
      <c r="A48" s="9">
        <v>45</v>
      </c>
      <c r="B48" s="13" t="s">
        <v>315</v>
      </c>
      <c r="C48" s="6" t="s">
        <v>316</v>
      </c>
      <c r="D48" s="6" t="s">
        <v>317</v>
      </c>
      <c r="E48" s="6" t="s">
        <v>128</v>
      </c>
      <c r="F48" s="6" t="s">
        <v>318</v>
      </c>
      <c r="G48" s="6" t="s">
        <v>318</v>
      </c>
      <c r="H48" s="6" t="s">
        <v>305</v>
      </c>
      <c r="I48" s="6" t="s">
        <v>69</v>
      </c>
    </row>
    <row r="49" spans="1:9" ht="27.6" x14ac:dyDescent="0.8">
      <c r="A49" s="9">
        <v>46</v>
      </c>
      <c r="B49" s="13" t="s">
        <v>319</v>
      </c>
      <c r="C49" s="6" t="s">
        <v>320</v>
      </c>
      <c r="D49" s="6" t="s">
        <v>321</v>
      </c>
      <c r="E49" s="6" t="s">
        <v>170</v>
      </c>
      <c r="F49" s="6" t="s">
        <v>322</v>
      </c>
      <c r="G49" s="6" t="s">
        <v>323</v>
      </c>
      <c r="H49" s="6" t="s">
        <v>305</v>
      </c>
      <c r="I49" s="6" t="s">
        <v>69</v>
      </c>
    </row>
    <row r="50" spans="1:9" ht="27.6" x14ac:dyDescent="0.8">
      <c r="A50" s="9">
        <v>47</v>
      </c>
      <c r="B50" s="13" t="s">
        <v>324</v>
      </c>
      <c r="C50" s="6" t="s">
        <v>325</v>
      </c>
      <c r="D50" s="6" t="s">
        <v>326</v>
      </c>
      <c r="E50" s="6" t="s">
        <v>170</v>
      </c>
      <c r="F50" s="6" t="s">
        <v>327</v>
      </c>
      <c r="G50" s="6" t="s">
        <v>327</v>
      </c>
      <c r="H50" s="6" t="s">
        <v>305</v>
      </c>
      <c r="I50" s="6" t="s">
        <v>69</v>
      </c>
    </row>
    <row r="51" spans="1:9" ht="27.6" x14ac:dyDescent="0.8">
      <c r="A51" s="9">
        <v>48</v>
      </c>
      <c r="B51" s="89" t="s">
        <v>328</v>
      </c>
      <c r="C51" s="6" t="s">
        <v>329</v>
      </c>
      <c r="D51" s="6"/>
      <c r="E51" s="40" t="s">
        <v>118</v>
      </c>
      <c r="F51" s="6"/>
      <c r="G51" s="90" t="s">
        <v>330</v>
      </c>
      <c r="H51" s="6" t="s">
        <v>305</v>
      </c>
      <c r="I51" s="6" t="s">
        <v>69</v>
      </c>
    </row>
    <row r="52" spans="1:9" ht="27.6" x14ac:dyDescent="0.8">
      <c r="A52" s="9">
        <v>49</v>
      </c>
      <c r="B52" s="13" t="s">
        <v>331</v>
      </c>
      <c r="C52" s="6" t="s">
        <v>332</v>
      </c>
      <c r="D52" s="6" t="s">
        <v>333</v>
      </c>
      <c r="E52" s="6" t="s">
        <v>128</v>
      </c>
      <c r="F52" s="6" t="s">
        <v>334</v>
      </c>
      <c r="G52" s="6" t="s">
        <v>335</v>
      </c>
      <c r="H52" s="6" t="s">
        <v>305</v>
      </c>
      <c r="I52" s="6" t="s">
        <v>69</v>
      </c>
    </row>
    <row r="53" spans="1:9" ht="27.6" x14ac:dyDescent="0.8">
      <c r="A53" s="9">
        <v>50</v>
      </c>
      <c r="B53" s="13" t="s">
        <v>336</v>
      </c>
      <c r="C53" s="6" t="s">
        <v>337</v>
      </c>
      <c r="D53" s="6" t="s">
        <v>338</v>
      </c>
      <c r="E53" s="6" t="s">
        <v>170</v>
      </c>
      <c r="F53" s="6" t="s">
        <v>339</v>
      </c>
      <c r="G53" s="6" t="s">
        <v>339</v>
      </c>
      <c r="H53" s="6" t="s">
        <v>305</v>
      </c>
      <c r="I53" s="6" t="s">
        <v>146</v>
      </c>
    </row>
    <row r="54" spans="1:9" ht="27.6" x14ac:dyDescent="0.8">
      <c r="A54" s="9">
        <v>51</v>
      </c>
      <c r="B54" s="13" t="s">
        <v>340</v>
      </c>
      <c r="C54" s="6" t="s">
        <v>341</v>
      </c>
      <c r="D54" s="6" t="s">
        <v>342</v>
      </c>
      <c r="E54" s="6" t="s">
        <v>170</v>
      </c>
      <c r="F54" s="6" t="s">
        <v>343</v>
      </c>
      <c r="G54" s="6" t="s">
        <v>343</v>
      </c>
      <c r="H54" s="6" t="s">
        <v>305</v>
      </c>
      <c r="I54" s="6" t="s">
        <v>146</v>
      </c>
    </row>
    <row r="55" spans="1:9" ht="27.6" x14ac:dyDescent="0.8">
      <c r="A55" s="9">
        <v>52</v>
      </c>
      <c r="B55" s="13" t="s">
        <v>344</v>
      </c>
      <c r="C55" s="6" t="s">
        <v>345</v>
      </c>
      <c r="D55" s="6" t="s">
        <v>346</v>
      </c>
      <c r="E55" s="6" t="s">
        <v>128</v>
      </c>
      <c r="F55" s="6" t="s">
        <v>347</v>
      </c>
      <c r="G55" s="6" t="s">
        <v>348</v>
      </c>
      <c r="H55" s="6" t="s">
        <v>305</v>
      </c>
      <c r="I55" s="6" t="s">
        <v>173</v>
      </c>
    </row>
    <row r="56" spans="1:9" ht="27.6" x14ac:dyDescent="0.8">
      <c r="A56" s="9">
        <v>53</v>
      </c>
      <c r="B56" s="13" t="s">
        <v>349</v>
      </c>
      <c r="C56" s="6" t="s">
        <v>350</v>
      </c>
      <c r="D56" s="6" t="s">
        <v>351</v>
      </c>
      <c r="E56" s="6" t="s">
        <v>128</v>
      </c>
      <c r="F56" s="6" t="s">
        <v>352</v>
      </c>
      <c r="G56" s="6" t="s">
        <v>352</v>
      </c>
      <c r="H56" s="6" t="s">
        <v>305</v>
      </c>
      <c r="I56" s="6" t="s">
        <v>179</v>
      </c>
    </row>
    <row r="57" spans="1:9" ht="27.6" x14ac:dyDescent="0.8">
      <c r="A57" s="9">
        <v>54</v>
      </c>
      <c r="B57" s="13" t="s">
        <v>353</v>
      </c>
      <c r="C57" s="6" t="s">
        <v>354</v>
      </c>
      <c r="D57" s="6" t="s">
        <v>355</v>
      </c>
      <c r="E57" s="6" t="s">
        <v>104</v>
      </c>
      <c r="F57" s="6" t="s">
        <v>356</v>
      </c>
      <c r="G57" s="6" t="s">
        <v>357</v>
      </c>
      <c r="H57" s="6" t="s">
        <v>305</v>
      </c>
      <c r="I57" s="6" t="s">
        <v>219</v>
      </c>
    </row>
    <row r="58" spans="1:9" ht="27.6" x14ac:dyDescent="0.8">
      <c r="A58" s="9">
        <v>55</v>
      </c>
      <c r="B58" s="13" t="s">
        <v>358</v>
      </c>
      <c r="C58" s="6" t="s">
        <v>359</v>
      </c>
      <c r="D58" s="6" t="s">
        <v>360</v>
      </c>
      <c r="E58" s="6" t="s">
        <v>128</v>
      </c>
      <c r="F58" s="6" t="s">
        <v>361</v>
      </c>
      <c r="G58" s="6" t="s">
        <v>362</v>
      </c>
      <c r="H58" s="6" t="s">
        <v>305</v>
      </c>
      <c r="I58" s="6" t="s">
        <v>219</v>
      </c>
    </row>
    <row r="59" spans="1:9" ht="27.6" x14ac:dyDescent="0.8">
      <c r="A59" s="9">
        <v>56</v>
      </c>
      <c r="B59" s="13" t="s">
        <v>363</v>
      </c>
      <c r="C59" s="6" t="s">
        <v>364</v>
      </c>
      <c r="D59" s="6" t="s">
        <v>365</v>
      </c>
      <c r="E59" s="6" t="s">
        <v>366</v>
      </c>
      <c r="F59" s="6" t="s">
        <v>367</v>
      </c>
      <c r="G59" s="6" t="s">
        <v>367</v>
      </c>
      <c r="H59" s="6" t="s">
        <v>305</v>
      </c>
      <c r="I59" s="6" t="s">
        <v>219</v>
      </c>
    </row>
    <row r="60" spans="1:9" ht="27.6" x14ac:dyDescent="0.8">
      <c r="A60" s="9">
        <v>57</v>
      </c>
      <c r="B60" s="13" t="s">
        <v>368</v>
      </c>
      <c r="C60" s="6" t="s">
        <v>369</v>
      </c>
      <c r="D60" s="6" t="s">
        <v>370</v>
      </c>
      <c r="E60" s="6" t="s">
        <v>128</v>
      </c>
      <c r="F60" s="6" t="s">
        <v>371</v>
      </c>
      <c r="G60" s="6" t="s">
        <v>371</v>
      </c>
      <c r="H60" s="6" t="s">
        <v>305</v>
      </c>
      <c r="I60" s="6" t="s">
        <v>234</v>
      </c>
    </row>
    <row r="61" spans="1:9" ht="27.6" x14ac:dyDescent="0.8">
      <c r="A61" s="9">
        <v>58</v>
      </c>
      <c r="B61" s="13" t="s">
        <v>372</v>
      </c>
      <c r="C61" s="6" t="s">
        <v>373</v>
      </c>
      <c r="D61" s="6" t="s">
        <v>374</v>
      </c>
      <c r="E61" s="6" t="s">
        <v>170</v>
      </c>
      <c r="F61" s="6" t="s">
        <v>375</v>
      </c>
      <c r="G61" s="6" t="s">
        <v>376</v>
      </c>
      <c r="H61" s="6" t="s">
        <v>305</v>
      </c>
      <c r="I61" s="6" t="s">
        <v>258</v>
      </c>
    </row>
    <row r="62" spans="1:9" ht="27.6" x14ac:dyDescent="0.8">
      <c r="A62" s="9">
        <v>59</v>
      </c>
      <c r="B62" s="13" t="s">
        <v>377</v>
      </c>
      <c r="C62" s="6" t="s">
        <v>378</v>
      </c>
      <c r="D62" s="6" t="s">
        <v>379</v>
      </c>
      <c r="E62" s="6" t="s">
        <v>128</v>
      </c>
      <c r="F62" s="6" t="s">
        <v>380</v>
      </c>
      <c r="G62" s="6" t="s">
        <v>381</v>
      </c>
      <c r="H62" s="6" t="s">
        <v>305</v>
      </c>
      <c r="I62" s="6" t="s">
        <v>258</v>
      </c>
    </row>
    <row r="63" spans="1:9" ht="27.6" x14ac:dyDescent="0.8">
      <c r="A63" s="9">
        <v>60</v>
      </c>
      <c r="B63" s="13" t="s">
        <v>382</v>
      </c>
      <c r="C63" s="6" t="s">
        <v>383</v>
      </c>
      <c r="D63" s="6" t="s">
        <v>384</v>
      </c>
      <c r="E63" s="6" t="s">
        <v>128</v>
      </c>
      <c r="F63" s="6" t="s">
        <v>385</v>
      </c>
      <c r="G63" s="6" t="s">
        <v>385</v>
      </c>
      <c r="H63" s="6" t="s">
        <v>305</v>
      </c>
      <c r="I63" s="6" t="s">
        <v>268</v>
      </c>
    </row>
    <row r="64" spans="1:9" ht="27.6" x14ac:dyDescent="0.8">
      <c r="A64" s="9">
        <v>61</v>
      </c>
      <c r="B64" s="13" t="s">
        <v>386</v>
      </c>
      <c r="C64" s="6" t="s">
        <v>387</v>
      </c>
      <c r="D64" s="6" t="s">
        <v>388</v>
      </c>
      <c r="E64" s="6" t="s">
        <v>128</v>
      </c>
      <c r="F64" s="6" t="s">
        <v>389</v>
      </c>
      <c r="G64" s="6" t="s">
        <v>389</v>
      </c>
      <c r="H64" s="6" t="s">
        <v>305</v>
      </c>
      <c r="I64" s="6" t="s">
        <v>274</v>
      </c>
    </row>
    <row r="66" spans="1:9" ht="27.6" x14ac:dyDescent="0.8">
      <c r="A66" s="91" t="s">
        <v>390</v>
      </c>
      <c r="B66" s="91"/>
    </row>
    <row r="67" spans="1:9" ht="27.6" x14ac:dyDescent="0.8">
      <c r="A67" s="92">
        <v>1</v>
      </c>
      <c r="B67" s="91"/>
      <c r="C67" s="91" t="s">
        <v>391</v>
      </c>
      <c r="D67" s="91" t="s">
        <v>392</v>
      </c>
      <c r="E67" s="91" t="s">
        <v>393</v>
      </c>
      <c r="F67" s="91"/>
      <c r="G67" s="91"/>
      <c r="H67" s="91"/>
      <c r="I67" s="91" t="s">
        <v>100</v>
      </c>
    </row>
    <row r="68" spans="1:9" ht="27.6" x14ac:dyDescent="0.8">
      <c r="A68" s="92">
        <v>2</v>
      </c>
      <c r="B68" s="91" t="s">
        <v>394</v>
      </c>
      <c r="C68" s="91" t="s">
        <v>395</v>
      </c>
      <c r="D68" s="91" t="s">
        <v>396</v>
      </c>
      <c r="E68" s="93" t="s">
        <v>96</v>
      </c>
      <c r="F68" s="91"/>
      <c r="G68" s="91"/>
      <c r="H68" s="91"/>
      <c r="I68" s="91" t="s">
        <v>397</v>
      </c>
    </row>
    <row r="69" spans="1:9" ht="27.6" x14ac:dyDescent="0.8">
      <c r="A69" s="92">
        <v>3</v>
      </c>
      <c r="B69" s="91" t="s">
        <v>299</v>
      </c>
      <c r="C69" s="91" t="s">
        <v>398</v>
      </c>
      <c r="D69" s="91" t="s">
        <v>399</v>
      </c>
      <c r="E69" s="91" t="s">
        <v>400</v>
      </c>
      <c r="F69" s="91"/>
      <c r="G69" s="91"/>
      <c r="H69" s="91"/>
      <c r="I69" s="94" t="s">
        <v>274</v>
      </c>
    </row>
  </sheetData>
  <mergeCells count="2">
    <mergeCell ref="A1:I1"/>
    <mergeCell ref="A2:I2"/>
  </mergeCells>
  <hyperlinks>
    <hyperlink ref="G44" r:id="rId1" xr:uid="{14DA7230-2C0C-4856-996B-175F984BE0E2}"/>
    <hyperlink ref="F44" r:id="rId2" xr:uid="{40413FDF-AF0B-4DBC-B2FA-7347154EDF73}"/>
    <hyperlink ref="G4" r:id="rId3" xr:uid="{33E8C98A-E28C-4036-B19B-AA14644DCCD2}"/>
    <hyperlink ref="G51" r:id="rId4" xr:uid="{ACAE3354-0FAF-4382-AD23-7BBB94932AA5}"/>
  </hyperlinks>
  <pageMargins left="0.7" right="0.7" top="0.75" bottom="0.75" header="0.3" footer="0.3"/>
  <drawing r:id="rId5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68B6-F3FD-40BD-A6A5-F304B2C41819}">
  <dimension ref="A1:I29"/>
  <sheetViews>
    <sheetView zoomScale="85" zoomScaleNormal="85" workbookViewId="0">
      <selection activeCell="E12" sqref="E12"/>
    </sheetView>
  </sheetViews>
  <sheetFormatPr defaultColWidth="9.09765625" defaultRowHeight="25.8" x14ac:dyDescent="0.65"/>
  <cols>
    <col min="1" max="1" width="10.69921875" style="1" bestFit="1" customWidth="1"/>
    <col min="2" max="2" width="24" style="1" bestFit="1" customWidth="1"/>
    <col min="3" max="3" width="25.09765625" style="1" bestFit="1" customWidth="1"/>
    <col min="4" max="4" width="13.5" style="1" bestFit="1" customWidth="1"/>
    <col min="5" max="5" width="27.8984375" style="1" bestFit="1" customWidth="1"/>
    <col min="6" max="6" width="28" style="1" bestFit="1" customWidth="1"/>
    <col min="7" max="7" width="24.5" style="1" bestFit="1" customWidth="1"/>
    <col min="8" max="8" width="13.59765625" style="1" bestFit="1" customWidth="1"/>
    <col min="9" max="9" width="26" style="1" bestFit="1" customWidth="1"/>
    <col min="10" max="16384" width="9.09765625" style="1"/>
  </cols>
  <sheetData>
    <row r="1" spans="1:9" x14ac:dyDescent="0.65">
      <c r="A1" s="134" t="s">
        <v>401</v>
      </c>
      <c r="B1" s="134"/>
      <c r="C1" s="134"/>
      <c r="D1" s="134"/>
      <c r="E1" s="134"/>
      <c r="F1" s="134"/>
      <c r="G1" s="134"/>
      <c r="H1" s="134"/>
      <c r="I1" s="134"/>
    </row>
    <row r="2" spans="1:9" x14ac:dyDescent="0.65">
      <c r="A2" s="134" t="s">
        <v>402</v>
      </c>
      <c r="B2" s="134"/>
      <c r="C2" s="134"/>
      <c r="D2" s="134"/>
      <c r="E2" s="134"/>
      <c r="F2" s="134"/>
      <c r="G2" s="134"/>
      <c r="H2" s="134"/>
      <c r="I2" s="134"/>
    </row>
    <row r="3" spans="1:9" ht="26.4" x14ac:dyDescent="0.65">
      <c r="A3" s="20" t="s">
        <v>55</v>
      </c>
      <c r="B3" s="20" t="s">
        <v>56</v>
      </c>
      <c r="C3" s="20" t="s">
        <v>57</v>
      </c>
      <c r="D3" s="20" t="s">
        <v>58</v>
      </c>
      <c r="E3" s="20" t="s">
        <v>92</v>
      </c>
      <c r="F3" s="20" t="s">
        <v>60</v>
      </c>
      <c r="G3" s="20" t="s">
        <v>61</v>
      </c>
      <c r="H3" s="20" t="s">
        <v>62</v>
      </c>
      <c r="I3" s="20" t="s">
        <v>63</v>
      </c>
    </row>
    <row r="4" spans="1:9" x14ac:dyDescent="0.65">
      <c r="A4" s="15">
        <v>1</v>
      </c>
      <c r="B4" s="16" t="s">
        <v>403</v>
      </c>
      <c r="C4" s="16" t="s">
        <v>404</v>
      </c>
      <c r="D4" s="16" t="s">
        <v>405</v>
      </c>
      <c r="E4" s="16" t="s">
        <v>406</v>
      </c>
      <c r="F4" s="52" t="s">
        <v>407</v>
      </c>
      <c r="G4" s="52" t="s">
        <v>408</v>
      </c>
      <c r="H4" s="16" t="s">
        <v>409</v>
      </c>
      <c r="I4" s="16" t="s">
        <v>69</v>
      </c>
    </row>
    <row r="5" spans="1:9" x14ac:dyDescent="0.65">
      <c r="A5" s="15">
        <v>2</v>
      </c>
      <c r="B5" s="16" t="s">
        <v>410</v>
      </c>
      <c r="C5" s="16" t="s">
        <v>411</v>
      </c>
      <c r="D5" s="16" t="s">
        <v>412</v>
      </c>
      <c r="E5" s="16" t="s">
        <v>413</v>
      </c>
      <c r="F5" s="52" t="s">
        <v>414</v>
      </c>
      <c r="G5" s="52" t="s">
        <v>415</v>
      </c>
      <c r="H5" s="16" t="s">
        <v>409</v>
      </c>
      <c r="I5" s="16" t="s">
        <v>69</v>
      </c>
    </row>
    <row r="6" spans="1:9" x14ac:dyDescent="0.65">
      <c r="A6" s="15">
        <v>3</v>
      </c>
      <c r="B6" s="16" t="s">
        <v>416</v>
      </c>
      <c r="C6" s="16" t="s">
        <v>417</v>
      </c>
      <c r="D6" s="16" t="s">
        <v>418</v>
      </c>
      <c r="E6" s="16" t="s">
        <v>413</v>
      </c>
      <c r="F6" s="52" t="s">
        <v>419</v>
      </c>
      <c r="G6" s="52" t="s">
        <v>420</v>
      </c>
      <c r="H6" s="16" t="s">
        <v>409</v>
      </c>
      <c r="I6" s="16" t="s">
        <v>69</v>
      </c>
    </row>
    <row r="7" spans="1:9" x14ac:dyDescent="0.65">
      <c r="A7" s="15">
        <v>4</v>
      </c>
      <c r="B7" s="16" t="s">
        <v>421</v>
      </c>
      <c r="C7" s="16" t="s">
        <v>422</v>
      </c>
      <c r="D7" s="16" t="s">
        <v>423</v>
      </c>
      <c r="E7" s="16" t="s">
        <v>413</v>
      </c>
      <c r="F7" s="52" t="s">
        <v>424</v>
      </c>
      <c r="G7" s="52" t="s">
        <v>425</v>
      </c>
      <c r="H7" s="16" t="s">
        <v>409</v>
      </c>
      <c r="I7" s="16" t="s">
        <v>69</v>
      </c>
    </row>
    <row r="8" spans="1:9" x14ac:dyDescent="0.65">
      <c r="A8" s="15">
        <v>5</v>
      </c>
      <c r="B8" s="16" t="s">
        <v>426</v>
      </c>
      <c r="C8" s="16" t="s">
        <v>427</v>
      </c>
      <c r="D8" s="16" t="s">
        <v>428</v>
      </c>
      <c r="E8" s="16" t="s">
        <v>429</v>
      </c>
      <c r="F8" s="52" t="s">
        <v>430</v>
      </c>
      <c r="G8" s="52" t="s">
        <v>430</v>
      </c>
      <c r="H8" s="16" t="s">
        <v>409</v>
      </c>
      <c r="I8" s="16" t="s">
        <v>179</v>
      </c>
    </row>
    <row r="9" spans="1:9" x14ac:dyDescent="0.65">
      <c r="A9" s="15">
        <v>6</v>
      </c>
      <c r="B9" s="16" t="s">
        <v>431</v>
      </c>
      <c r="C9" s="16" t="s">
        <v>432</v>
      </c>
      <c r="D9" s="16" t="s">
        <v>433</v>
      </c>
      <c r="E9" s="16" t="s">
        <v>434</v>
      </c>
      <c r="F9" s="16" t="s">
        <v>435</v>
      </c>
      <c r="G9" s="16" t="s">
        <v>436</v>
      </c>
      <c r="H9" s="16" t="s">
        <v>409</v>
      </c>
      <c r="I9" s="16" t="s">
        <v>69</v>
      </c>
    </row>
    <row r="10" spans="1:9" x14ac:dyDescent="0.65">
      <c r="A10" s="126" t="s">
        <v>85</v>
      </c>
      <c r="B10" s="127"/>
      <c r="C10" s="128" t="s">
        <v>86</v>
      </c>
      <c r="D10" s="127"/>
      <c r="E10" s="16"/>
      <c r="F10" s="16"/>
      <c r="G10" s="16"/>
      <c r="H10" s="16"/>
      <c r="I10" s="16"/>
    </row>
    <row r="11" spans="1:9" x14ac:dyDescent="0.65">
      <c r="A11" s="120" t="s">
        <v>87</v>
      </c>
      <c r="B11" s="121"/>
      <c r="C11" s="124">
        <f>COUNTIFS(Table5[Assigned users],"&lt;&gt;ว่าง")</f>
        <v>6</v>
      </c>
      <c r="D11" s="121"/>
      <c r="E11" s="16"/>
      <c r="F11" s="16"/>
      <c r="G11" s="16"/>
      <c r="H11" s="16"/>
      <c r="I11" s="16"/>
    </row>
    <row r="12" spans="1:9" x14ac:dyDescent="0.65">
      <c r="A12" s="120" t="s">
        <v>88</v>
      </c>
      <c r="B12" s="121"/>
      <c r="C12" s="122">
        <f>COUNTIF(Table5[Assigned users],"ว่าง")</f>
        <v>0</v>
      </c>
      <c r="D12" s="123"/>
      <c r="E12" s="16"/>
      <c r="F12" s="16"/>
      <c r="G12" s="16"/>
      <c r="H12" s="16"/>
      <c r="I12" s="16"/>
    </row>
    <row r="13" spans="1:9" x14ac:dyDescent="0.65">
      <c r="A13" s="120" t="s">
        <v>89</v>
      </c>
      <c r="B13" s="121"/>
      <c r="C13" s="124">
        <f>SUM(C11:C12)</f>
        <v>6</v>
      </c>
      <c r="D13" s="121"/>
      <c r="E13" s="16"/>
      <c r="F13" s="16"/>
      <c r="G13" s="16"/>
      <c r="H13" s="16"/>
      <c r="I13" s="16"/>
    </row>
    <row r="14" spans="1:9" x14ac:dyDescent="0.65">
      <c r="A14" s="15"/>
      <c r="B14" s="16"/>
      <c r="C14" s="16"/>
      <c r="D14" s="16"/>
      <c r="E14" s="16"/>
      <c r="F14" s="16"/>
      <c r="G14" s="16"/>
      <c r="H14" s="16"/>
      <c r="I14" s="16"/>
    </row>
    <row r="15" spans="1:9" x14ac:dyDescent="0.65">
      <c r="A15" s="15"/>
      <c r="B15" s="16"/>
      <c r="C15" s="16"/>
      <c r="D15" s="16"/>
      <c r="E15" s="16"/>
      <c r="F15" s="16"/>
      <c r="G15" s="16"/>
      <c r="H15" s="16"/>
      <c r="I15" s="16"/>
    </row>
    <row r="17" spans="1:9" x14ac:dyDescent="0.65">
      <c r="A17" s="134" t="s">
        <v>437</v>
      </c>
      <c r="B17" s="134"/>
      <c r="C17" s="134"/>
      <c r="D17" s="134"/>
      <c r="E17" s="134"/>
      <c r="F17" s="134"/>
      <c r="G17" s="134"/>
      <c r="H17" s="134"/>
      <c r="I17" s="134"/>
    </row>
    <row r="18" spans="1:9" x14ac:dyDescent="0.65">
      <c r="A18" s="134" t="s">
        <v>438</v>
      </c>
      <c r="B18" s="134"/>
      <c r="C18" s="134"/>
      <c r="D18" s="134"/>
      <c r="E18" s="134"/>
      <c r="F18" s="134"/>
      <c r="G18" s="134"/>
      <c r="H18" s="134"/>
      <c r="I18" s="134"/>
    </row>
    <row r="19" spans="1:9" ht="26.4" x14ac:dyDescent="0.65">
      <c r="A19" s="20" t="s">
        <v>55</v>
      </c>
      <c r="B19" s="20" t="s">
        <v>56</v>
      </c>
      <c r="C19" s="20" t="s">
        <v>57</v>
      </c>
      <c r="D19" s="20" t="s">
        <v>58</v>
      </c>
      <c r="E19" s="20" t="s">
        <v>92</v>
      </c>
      <c r="F19" s="20" t="s">
        <v>60</v>
      </c>
      <c r="G19" s="20" t="s">
        <v>61</v>
      </c>
      <c r="H19" s="20" t="s">
        <v>62</v>
      </c>
      <c r="I19" s="20" t="s">
        <v>63</v>
      </c>
    </row>
    <row r="20" spans="1:9" x14ac:dyDescent="0.65">
      <c r="A20" s="15">
        <v>1</v>
      </c>
      <c r="B20" s="16" t="s">
        <v>439</v>
      </c>
      <c r="C20" s="16" t="s">
        <v>440</v>
      </c>
      <c r="D20" s="16" t="s">
        <v>103</v>
      </c>
      <c r="E20" s="16" t="s">
        <v>441</v>
      </c>
      <c r="F20" s="17" t="s">
        <v>105</v>
      </c>
      <c r="G20" s="17" t="s">
        <v>442</v>
      </c>
      <c r="H20" s="16" t="s">
        <v>99</v>
      </c>
      <c r="I20" s="16" t="s">
        <v>69</v>
      </c>
    </row>
    <row r="21" spans="1:9" x14ac:dyDescent="0.65">
      <c r="A21" s="15">
        <v>2</v>
      </c>
      <c r="B21" s="16" t="s">
        <v>443</v>
      </c>
      <c r="C21" s="16" t="s">
        <v>444</v>
      </c>
      <c r="D21" s="16" t="s">
        <v>246</v>
      </c>
      <c r="E21" s="16" t="s">
        <v>429</v>
      </c>
      <c r="F21" s="17" t="s">
        <v>247</v>
      </c>
      <c r="G21" s="17" t="s">
        <v>445</v>
      </c>
      <c r="H21" s="16" t="s">
        <v>99</v>
      </c>
      <c r="I21" s="16" t="s">
        <v>234</v>
      </c>
    </row>
    <row r="22" spans="1:9" x14ac:dyDescent="0.65">
      <c r="A22" s="15">
        <v>3</v>
      </c>
      <c r="B22" s="16" t="s">
        <v>446</v>
      </c>
      <c r="C22" s="16" t="s">
        <v>447</v>
      </c>
      <c r="D22" s="16" t="s">
        <v>355</v>
      </c>
      <c r="E22" s="16" t="s">
        <v>104</v>
      </c>
      <c r="F22" s="16" t="s">
        <v>356</v>
      </c>
      <c r="G22" s="17" t="s">
        <v>448</v>
      </c>
      <c r="H22" s="16" t="s">
        <v>99</v>
      </c>
      <c r="I22" s="16" t="s">
        <v>219</v>
      </c>
    </row>
    <row r="23" spans="1:9" x14ac:dyDescent="0.65">
      <c r="A23" s="15">
        <v>4</v>
      </c>
      <c r="B23" s="16" t="s">
        <v>449</v>
      </c>
      <c r="C23" s="16" t="s">
        <v>450</v>
      </c>
      <c r="D23" s="16" t="s">
        <v>208</v>
      </c>
      <c r="E23" s="16" t="s">
        <v>104</v>
      </c>
      <c r="F23" s="16" t="s">
        <v>209</v>
      </c>
      <c r="G23" s="17" t="s">
        <v>451</v>
      </c>
      <c r="H23" s="16" t="s">
        <v>99</v>
      </c>
      <c r="I23" s="16" t="s">
        <v>205</v>
      </c>
    </row>
    <row r="24" spans="1:9" x14ac:dyDescent="0.65">
      <c r="A24" s="15">
        <v>5</v>
      </c>
      <c r="B24" s="16" t="s">
        <v>452</v>
      </c>
      <c r="C24" s="16" t="s">
        <v>453</v>
      </c>
      <c r="D24" s="16" t="s">
        <v>127</v>
      </c>
      <c r="E24" s="16" t="s">
        <v>128</v>
      </c>
      <c r="F24" s="16" t="s">
        <v>129</v>
      </c>
      <c r="G24" s="17" t="s">
        <v>454</v>
      </c>
      <c r="H24" s="16" t="s">
        <v>99</v>
      </c>
      <c r="I24" s="16" t="s">
        <v>69</v>
      </c>
    </row>
    <row r="25" spans="1:9" x14ac:dyDescent="0.65">
      <c r="A25" s="15">
        <v>6</v>
      </c>
      <c r="B25" s="16" t="s">
        <v>455</v>
      </c>
      <c r="C25" s="16" t="s">
        <v>456</v>
      </c>
      <c r="D25" s="16" t="s">
        <v>457</v>
      </c>
      <c r="E25" s="16" t="s">
        <v>441</v>
      </c>
      <c r="F25" s="16" t="s">
        <v>458</v>
      </c>
      <c r="G25" s="16" t="s">
        <v>458</v>
      </c>
      <c r="H25" s="16" t="s">
        <v>99</v>
      </c>
      <c r="I25" s="16" t="s">
        <v>69</v>
      </c>
    </row>
    <row r="26" spans="1:9" x14ac:dyDescent="0.65">
      <c r="A26" s="126" t="s">
        <v>85</v>
      </c>
      <c r="B26" s="127"/>
      <c r="C26" s="128" t="s">
        <v>86</v>
      </c>
      <c r="D26" s="127"/>
    </row>
    <row r="27" spans="1:9" x14ac:dyDescent="0.65">
      <c r="A27" s="120" t="s">
        <v>87</v>
      </c>
      <c r="B27" s="121"/>
      <c r="C27" s="124">
        <f>COUNTIFS(Table58[Assigned users],"&lt;&gt;ว่าง")</f>
        <v>6</v>
      </c>
      <c r="D27" s="121"/>
    </row>
    <row r="28" spans="1:9" x14ac:dyDescent="0.65">
      <c r="A28" s="120" t="s">
        <v>88</v>
      </c>
      <c r="B28" s="121"/>
      <c r="C28" s="122">
        <f>COUNTIF(Table58[Assigned users],"ว่าง")</f>
        <v>0</v>
      </c>
      <c r="D28" s="123"/>
    </row>
    <row r="29" spans="1:9" x14ac:dyDescent="0.65">
      <c r="A29" s="120" t="s">
        <v>89</v>
      </c>
      <c r="B29" s="121"/>
      <c r="C29" s="124">
        <f>SUM(C27:C28)</f>
        <v>6</v>
      </c>
      <c r="D29" s="121"/>
    </row>
  </sheetData>
  <mergeCells count="20">
    <mergeCell ref="A1:I1"/>
    <mergeCell ref="A17:I17"/>
    <mergeCell ref="A2:I2"/>
    <mergeCell ref="A18:I18"/>
    <mergeCell ref="A10:B10"/>
    <mergeCell ref="C10:D10"/>
    <mergeCell ref="A11:B11"/>
    <mergeCell ref="C11:D11"/>
    <mergeCell ref="A12:B12"/>
    <mergeCell ref="C12:D12"/>
    <mergeCell ref="A13:B13"/>
    <mergeCell ref="C13:D13"/>
    <mergeCell ref="A29:B29"/>
    <mergeCell ref="C29:D29"/>
    <mergeCell ref="A26:B26"/>
    <mergeCell ref="C26:D26"/>
    <mergeCell ref="A27:B27"/>
    <mergeCell ref="C27:D27"/>
    <mergeCell ref="A28:B28"/>
    <mergeCell ref="C28:D28"/>
  </mergeCells>
  <conditionalFormatting sqref="A3:I3 B6:G6 B4:B5 B7 B8:G9 I8:I15 B14:G15 E10:G13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{2AE4F778-F4A5-4184-BC42-D1847A5CE9CC}</x14:id>
        </ext>
      </extLst>
    </cfRule>
  </conditionalFormatting>
  <conditionalFormatting sqref="A19:I19 B20:I25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{8DB0F43A-FD10-4B3B-B776-5F3923B7E540}</x14:id>
        </ext>
      </extLst>
    </cfRule>
  </conditionalFormatting>
  <conditionalFormatting sqref="B10:B13">
    <cfRule type="duplicateValues" dxfId="24" priority="4"/>
    <cfRule type="duplicateValues" dxfId="23" priority="5"/>
  </conditionalFormatting>
  <conditionalFormatting sqref="B26:B29">
    <cfRule type="duplicateValues" dxfId="22" priority="1"/>
    <cfRule type="duplicateValues" dxfId="21" priority="2"/>
  </conditionalFormatting>
  <conditionalFormatting sqref="C10:D1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{871C81BA-4AF1-4BA8-9478-C12C04E3D8A3}</x14:id>
        </ext>
      </extLst>
    </cfRule>
  </conditionalFormatting>
  <conditionalFormatting sqref="C26:D2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{3E747B74-7FAB-4494-B423-AC97D994F963}</x14:id>
        </ext>
      </extLst>
    </cfRule>
  </conditionalFormatting>
  <conditionalFormatting sqref="C4:G4 I4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{0A3369B9-B512-4D6E-815F-E9EED61ED68A}</x14:id>
        </ext>
      </extLst>
    </cfRule>
  </conditionalFormatting>
  <conditionalFormatting sqref="C5:G5 I5:I6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{BED2FFE6-5066-4593-B6DD-5827DC871EFE}</x14:id>
        </ext>
      </extLst>
    </cfRule>
  </conditionalFormatting>
  <conditionalFormatting sqref="C7:G7 I7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{6EC27FEC-4C7F-4861-9A56-3DE8D185108F}</x14:id>
        </ext>
      </extLst>
    </cfRule>
  </conditionalFormatting>
  <conditionalFormatting sqref="H4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{1D0F91C4-4CEB-4A20-9210-E502BD35A913}</x14:id>
        </ext>
      </extLst>
    </cfRule>
  </conditionalFormatting>
  <conditionalFormatting sqref="H5:H6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{816F2CDD-9706-4A39-B507-24F6905E3DBB}</x14:id>
        </ext>
      </extLst>
    </cfRule>
  </conditionalFormatting>
  <conditionalFormatting sqref="H7:H8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{126B0E41-A799-4197-9161-2C17A14FAA5C}</x14:id>
        </ext>
      </extLst>
    </cfRule>
  </conditionalFormatting>
  <conditionalFormatting sqref="H9:H15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{B310B9A9-5D8D-4412-8973-8137D68FF499}</x14:id>
        </ext>
      </extLst>
    </cfRule>
  </conditionalFormatting>
  <hyperlinks>
    <hyperlink ref="G4" r:id="rId1" xr:uid="{563ADA83-8046-4F52-AA13-3ADB0708B1A9}"/>
    <hyperlink ref="F4" r:id="rId2" xr:uid="{18F5DA42-5426-445F-A0B6-075952897364}"/>
    <hyperlink ref="F5" r:id="rId3" xr:uid="{7147CCE5-EA3F-4622-B03D-72762D847094}"/>
    <hyperlink ref="G5" r:id="rId4" xr:uid="{330CFC10-8AD2-4166-8206-9C749FF038AB}"/>
    <hyperlink ref="F7" r:id="rId5" xr:uid="{BEEA1D75-C949-4808-8E96-927221288B0B}"/>
    <hyperlink ref="G7" r:id="rId6" xr:uid="{E759EFC1-E2BC-4A04-B6BB-D03611C8FF48}"/>
    <hyperlink ref="F6" r:id="rId7" xr:uid="{DD816767-0E20-4954-917E-CBEED76A243B}"/>
    <hyperlink ref="G6" r:id="rId8" xr:uid="{8DE936B6-F6AE-4953-86B7-51D3ACFE18C9}"/>
    <hyperlink ref="F8" r:id="rId9" xr:uid="{2C3AA14F-73A2-4283-A066-D77279F5C1BD}"/>
    <hyperlink ref="G8" r:id="rId10" xr:uid="{216644D6-0978-4000-B5E9-FC0277FEAF0E}"/>
    <hyperlink ref="F20" r:id="rId11" xr:uid="{DDECCEC5-B7CB-4C2B-B8B4-4B42A3184888}"/>
    <hyperlink ref="G20" r:id="rId12" xr:uid="{9B37D6DD-7FA3-4D36-886A-288EF898438B}"/>
    <hyperlink ref="G21" r:id="rId13" xr:uid="{A889D6ED-13F4-4242-8FD9-7386C12058B1}"/>
    <hyperlink ref="G22" r:id="rId14" xr:uid="{FF31F5CF-BCAE-4BE7-A2ED-BBF02CB74C0E}"/>
    <hyperlink ref="G23" r:id="rId15" xr:uid="{5E5B738B-EEE7-475A-A70E-B769CE7AEE94}"/>
    <hyperlink ref="G24" r:id="rId16" xr:uid="{EF2414EE-29C3-49F6-8F1E-0432216B811D}"/>
    <hyperlink ref="F21" r:id="rId17" xr:uid="{87C8030B-0F24-40C8-AFBC-D95FF6B371DC}"/>
  </hyperlinks>
  <pageMargins left="0.7" right="0.7" top="0.75" bottom="0.75" header="0.3" footer="0.3"/>
  <drawing r:id="rId18"/>
  <tableParts count="2">
    <tablePart r:id="rId19"/>
    <tablePart r:id="rId2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E4F778-F4A5-4184-BC42-D1847A5CE9C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A3:I3 B6:G6 B4:B5 B7 B8:G9 I8:I15 B14:G15 E10:G13</xm:sqref>
        </x14:conditionalFormatting>
        <x14:conditionalFormatting xmlns:xm="http://schemas.microsoft.com/office/excel/2006/main">
          <x14:cfRule type="dataBar" id="{8DB0F43A-FD10-4B3B-B776-5F3923B7E5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A19:I19 B20:I25</xm:sqref>
        </x14:conditionalFormatting>
        <x14:conditionalFormatting xmlns:xm="http://schemas.microsoft.com/office/excel/2006/main">
          <x14:cfRule type="dataBar" id="{871C81BA-4AF1-4BA8-9478-C12C04E3D8A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C10:D10</xm:sqref>
        </x14:conditionalFormatting>
        <x14:conditionalFormatting xmlns:xm="http://schemas.microsoft.com/office/excel/2006/main">
          <x14:cfRule type="dataBar" id="{3E747B74-7FAB-4494-B423-AC97D994F96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C26:D26</xm:sqref>
        </x14:conditionalFormatting>
        <x14:conditionalFormatting xmlns:xm="http://schemas.microsoft.com/office/excel/2006/main">
          <x14:cfRule type="dataBar" id="{0A3369B9-B512-4D6E-815F-E9EED61ED68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C4:G4 I4</xm:sqref>
        </x14:conditionalFormatting>
        <x14:conditionalFormatting xmlns:xm="http://schemas.microsoft.com/office/excel/2006/main">
          <x14:cfRule type="dataBar" id="{BED2FFE6-5066-4593-B6DD-5827DC871EF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C5:G5 I5:I6</xm:sqref>
        </x14:conditionalFormatting>
        <x14:conditionalFormatting xmlns:xm="http://schemas.microsoft.com/office/excel/2006/main">
          <x14:cfRule type="dataBar" id="{6EC27FEC-4C7F-4861-9A56-3DE8D185108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C7:G7 I7</xm:sqref>
        </x14:conditionalFormatting>
        <x14:conditionalFormatting xmlns:xm="http://schemas.microsoft.com/office/excel/2006/main">
          <x14:cfRule type="dataBar" id="{1D0F91C4-4CEB-4A20-9210-E502BD35A91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</xm:sqref>
        </x14:conditionalFormatting>
        <x14:conditionalFormatting xmlns:xm="http://schemas.microsoft.com/office/excel/2006/main">
          <x14:cfRule type="dataBar" id="{816F2CDD-9706-4A39-B507-24F6905E3D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H5:H6</xm:sqref>
        </x14:conditionalFormatting>
        <x14:conditionalFormatting xmlns:xm="http://schemas.microsoft.com/office/excel/2006/main">
          <x14:cfRule type="dataBar" id="{126B0E41-A799-4197-9161-2C17A14FAA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H7:H8</xm:sqref>
        </x14:conditionalFormatting>
        <x14:conditionalFormatting xmlns:xm="http://schemas.microsoft.com/office/excel/2006/main">
          <x14:cfRule type="dataBar" id="{B310B9A9-5D8D-4412-8973-8137D68FF49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H9:H15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B3D4-D1C6-4EDB-B509-50D57E6267FC}">
  <dimension ref="A1:I29"/>
  <sheetViews>
    <sheetView topLeftCell="A7" zoomScale="115" zoomScaleNormal="115" workbookViewId="0">
      <selection activeCell="E8" sqref="E8"/>
    </sheetView>
  </sheetViews>
  <sheetFormatPr defaultColWidth="9" defaultRowHeight="25.8" x14ac:dyDescent="0.65"/>
  <cols>
    <col min="1" max="1" width="10.69921875" style="1" bestFit="1" customWidth="1"/>
    <col min="2" max="2" width="24" style="1" bestFit="1" customWidth="1"/>
    <col min="3" max="3" width="27.3984375" style="1" bestFit="1" customWidth="1"/>
    <col min="4" max="4" width="13.5" style="1" bestFit="1" customWidth="1"/>
    <col min="5" max="5" width="29.09765625" style="1" bestFit="1" customWidth="1"/>
    <col min="6" max="6" width="26.3984375" style="1" bestFit="1" customWidth="1"/>
    <col min="7" max="7" width="26" style="1" bestFit="1" customWidth="1"/>
    <col min="8" max="8" width="13.59765625" style="1" bestFit="1" customWidth="1"/>
    <col min="9" max="9" width="21.69921875" style="1" bestFit="1" customWidth="1"/>
    <col min="10" max="16384" width="9" style="1"/>
  </cols>
  <sheetData>
    <row r="1" spans="1:9" x14ac:dyDescent="0.65">
      <c r="A1" s="134" t="s">
        <v>459</v>
      </c>
      <c r="B1" s="134"/>
      <c r="C1" s="134"/>
      <c r="D1" s="134"/>
      <c r="E1" s="134"/>
      <c r="F1" s="134"/>
      <c r="G1" s="134"/>
      <c r="H1" s="134"/>
      <c r="I1" s="134"/>
    </row>
    <row r="2" spans="1:9" x14ac:dyDescent="0.65">
      <c r="A2" s="134" t="s">
        <v>460</v>
      </c>
      <c r="B2" s="134"/>
      <c r="C2" s="134"/>
      <c r="D2" s="134"/>
      <c r="E2" s="134"/>
      <c r="F2" s="134"/>
      <c r="G2" s="134"/>
      <c r="H2" s="134"/>
      <c r="I2" s="134"/>
    </row>
    <row r="3" spans="1:9" ht="26.4" x14ac:dyDescent="0.7">
      <c r="A3" s="14" t="s">
        <v>55</v>
      </c>
      <c r="B3" s="14" t="s">
        <v>56</v>
      </c>
      <c r="C3" s="14" t="s">
        <v>57</v>
      </c>
      <c r="D3" s="14" t="s">
        <v>58</v>
      </c>
      <c r="E3" s="14" t="s">
        <v>59</v>
      </c>
      <c r="F3" s="14" t="s">
        <v>60</v>
      </c>
      <c r="G3" s="14" t="s">
        <v>61</v>
      </c>
      <c r="H3" s="14" t="s">
        <v>62</v>
      </c>
      <c r="I3" s="14" t="s">
        <v>63</v>
      </c>
    </row>
    <row r="4" spans="1:9" x14ac:dyDescent="0.65">
      <c r="A4" s="15">
        <v>1</v>
      </c>
      <c r="B4" s="16" t="s">
        <v>461</v>
      </c>
      <c r="C4" s="16" t="s">
        <v>462</v>
      </c>
      <c r="D4" s="16" t="s">
        <v>463</v>
      </c>
      <c r="E4" s="16" t="s">
        <v>400</v>
      </c>
      <c r="F4" s="52" t="s">
        <v>464</v>
      </c>
      <c r="G4" s="52" t="s">
        <v>464</v>
      </c>
      <c r="H4" s="16" t="s">
        <v>409</v>
      </c>
      <c r="I4" s="16" t="s">
        <v>274</v>
      </c>
    </row>
    <row r="5" spans="1:9" x14ac:dyDescent="0.65">
      <c r="A5" s="15">
        <v>2</v>
      </c>
      <c r="B5" s="16" t="s">
        <v>465</v>
      </c>
      <c r="C5" s="16" t="s">
        <v>466</v>
      </c>
      <c r="D5" s="16" t="s">
        <v>467</v>
      </c>
      <c r="E5" s="16" t="s">
        <v>468</v>
      </c>
      <c r="F5" s="52" t="s">
        <v>469</v>
      </c>
      <c r="G5" s="52" t="s">
        <v>469</v>
      </c>
      <c r="H5" s="16"/>
      <c r="I5" s="16" t="s">
        <v>146</v>
      </c>
    </row>
    <row r="6" spans="1:9" x14ac:dyDescent="0.65">
      <c r="A6" s="15">
        <v>3</v>
      </c>
      <c r="B6" s="16" t="s">
        <v>470</v>
      </c>
      <c r="C6" s="16" t="s">
        <v>471</v>
      </c>
      <c r="D6" s="16" t="s">
        <v>472</v>
      </c>
      <c r="E6" s="16" t="s">
        <v>400</v>
      </c>
      <c r="F6" s="52" t="s">
        <v>473</v>
      </c>
      <c r="G6" s="52" t="s">
        <v>473</v>
      </c>
      <c r="H6" s="16"/>
      <c r="I6" s="18" t="s">
        <v>268</v>
      </c>
    </row>
    <row r="7" spans="1:9" x14ac:dyDescent="0.65">
      <c r="A7" s="15">
        <v>4</v>
      </c>
      <c r="B7" s="16" t="s">
        <v>474</v>
      </c>
      <c r="C7" s="16" t="s">
        <v>475</v>
      </c>
      <c r="D7" s="16" t="s">
        <v>476</v>
      </c>
      <c r="E7" s="16" t="s">
        <v>400</v>
      </c>
      <c r="F7" s="52" t="s">
        <v>477</v>
      </c>
      <c r="G7" s="52" t="s">
        <v>477</v>
      </c>
      <c r="H7" s="16"/>
      <c r="I7" s="16" t="s">
        <v>205</v>
      </c>
    </row>
    <row r="8" spans="1:9" x14ac:dyDescent="0.65">
      <c r="A8" s="15">
        <v>5</v>
      </c>
      <c r="B8" s="16"/>
      <c r="C8" s="16"/>
      <c r="D8" s="95"/>
      <c r="E8" s="16"/>
      <c r="F8" s="52"/>
      <c r="G8" s="52"/>
      <c r="H8" s="16"/>
      <c r="I8" s="18"/>
    </row>
    <row r="9" spans="1:9" x14ac:dyDescent="0.65">
      <c r="A9" s="15">
        <v>6</v>
      </c>
      <c r="B9" s="16" t="s">
        <v>478</v>
      </c>
      <c r="C9" s="16" t="s">
        <v>479</v>
      </c>
      <c r="D9" s="16" t="s">
        <v>480</v>
      </c>
      <c r="E9" s="16" t="s">
        <v>481</v>
      </c>
      <c r="F9" s="52" t="s">
        <v>482</v>
      </c>
      <c r="G9" s="52" t="s">
        <v>482</v>
      </c>
      <c r="H9" s="16"/>
      <c r="I9" s="16" t="s">
        <v>69</v>
      </c>
    </row>
    <row r="10" spans="1:9" x14ac:dyDescent="0.65">
      <c r="A10" s="15">
        <v>7</v>
      </c>
      <c r="B10" s="16" t="s">
        <v>455</v>
      </c>
      <c r="C10" s="16" t="s">
        <v>483</v>
      </c>
      <c r="D10" s="16" t="s">
        <v>457</v>
      </c>
      <c r="E10" s="16" t="s">
        <v>441</v>
      </c>
      <c r="F10" s="52" t="s">
        <v>458</v>
      </c>
      <c r="G10" s="52" t="s">
        <v>458</v>
      </c>
      <c r="H10" s="16"/>
      <c r="I10" s="16" t="s">
        <v>69</v>
      </c>
    </row>
    <row r="11" spans="1:9" x14ac:dyDescent="0.65">
      <c r="A11" s="126" t="s">
        <v>85</v>
      </c>
      <c r="B11" s="127"/>
      <c r="C11" s="128" t="s">
        <v>86</v>
      </c>
      <c r="D11" s="127"/>
      <c r="E11" s="16"/>
      <c r="F11" s="17"/>
      <c r="G11" s="17"/>
      <c r="H11" s="16"/>
      <c r="I11" s="16"/>
    </row>
    <row r="12" spans="1:9" x14ac:dyDescent="0.65">
      <c r="A12" s="120" t="s">
        <v>87</v>
      </c>
      <c r="B12" s="121"/>
      <c r="C12" s="124">
        <f>COUNTIFS(Table3[Assigned users],"&lt;&gt;ว่าง")</f>
        <v>7</v>
      </c>
      <c r="D12" s="121"/>
      <c r="E12" s="16"/>
      <c r="F12" s="17"/>
      <c r="G12" s="17"/>
      <c r="H12" s="16"/>
      <c r="I12" s="16"/>
    </row>
    <row r="13" spans="1:9" x14ac:dyDescent="0.65">
      <c r="A13" s="120" t="s">
        <v>88</v>
      </c>
      <c r="B13" s="121"/>
      <c r="C13" s="122">
        <f>COUNTIF(Table3[Assigned users],"ว่าง")</f>
        <v>0</v>
      </c>
      <c r="D13" s="123"/>
      <c r="E13" s="16"/>
      <c r="F13" s="17"/>
      <c r="G13" s="17"/>
      <c r="H13" s="16"/>
      <c r="I13" s="16"/>
    </row>
    <row r="14" spans="1:9" x14ac:dyDescent="0.65">
      <c r="A14" s="120" t="s">
        <v>89</v>
      </c>
      <c r="B14" s="121"/>
      <c r="C14" s="124">
        <f>SUM(C12:C13)</f>
        <v>7</v>
      </c>
      <c r="D14" s="121"/>
      <c r="E14" s="16"/>
      <c r="F14" s="17"/>
      <c r="G14" s="17"/>
      <c r="H14" s="16"/>
      <c r="I14" s="16"/>
    </row>
    <row r="15" spans="1:9" x14ac:dyDescent="0.65">
      <c r="A15" s="15"/>
      <c r="B15" s="16"/>
      <c r="C15" s="16"/>
      <c r="D15" s="16"/>
      <c r="E15" s="16"/>
      <c r="F15" s="17"/>
      <c r="G15" s="17"/>
      <c r="H15" s="16"/>
      <c r="I15" s="16"/>
    </row>
    <row r="16" spans="1:9" x14ac:dyDescent="0.65">
      <c r="A16" s="15"/>
      <c r="B16" s="16"/>
      <c r="C16" s="16"/>
      <c r="D16" s="16"/>
      <c r="E16" s="16"/>
      <c r="F16" s="17"/>
      <c r="G16" s="17"/>
      <c r="H16" s="16"/>
      <c r="I16" s="16"/>
    </row>
    <row r="18" spans="1:9" x14ac:dyDescent="0.65">
      <c r="A18" s="134" t="s">
        <v>484</v>
      </c>
      <c r="B18" s="134"/>
      <c r="C18" s="134"/>
      <c r="D18" s="134"/>
      <c r="E18" s="134"/>
      <c r="F18" s="134"/>
      <c r="G18" s="134"/>
      <c r="H18" s="134"/>
      <c r="I18" s="134"/>
    </row>
    <row r="19" spans="1:9" x14ac:dyDescent="0.65">
      <c r="A19" s="134" t="s">
        <v>485</v>
      </c>
      <c r="B19" s="134"/>
      <c r="C19" s="134"/>
      <c r="D19" s="134"/>
      <c r="E19" s="134"/>
      <c r="F19" s="134"/>
      <c r="G19" s="134"/>
      <c r="H19" s="134"/>
      <c r="I19" s="134"/>
    </row>
    <row r="20" spans="1:9" ht="26.4" x14ac:dyDescent="0.7">
      <c r="A20" s="14" t="s">
        <v>55</v>
      </c>
      <c r="B20" s="14" t="s">
        <v>56</v>
      </c>
      <c r="C20" s="14" t="s">
        <v>57</v>
      </c>
      <c r="D20" s="14" t="s">
        <v>58</v>
      </c>
      <c r="E20" s="14" t="s">
        <v>59</v>
      </c>
      <c r="F20" s="14" t="s">
        <v>60</v>
      </c>
      <c r="G20" s="14" t="s">
        <v>61</v>
      </c>
      <c r="H20" s="14" t="s">
        <v>62</v>
      </c>
      <c r="I20" s="14" t="s">
        <v>63</v>
      </c>
    </row>
    <row r="21" spans="1:9" x14ac:dyDescent="0.65">
      <c r="A21" s="15">
        <v>1</v>
      </c>
      <c r="B21" s="16" t="s">
        <v>403</v>
      </c>
      <c r="C21" s="16" t="s">
        <v>486</v>
      </c>
      <c r="D21" s="16" t="s">
        <v>405</v>
      </c>
      <c r="E21" s="16" t="s">
        <v>406</v>
      </c>
      <c r="F21" s="17" t="s">
        <v>407</v>
      </c>
      <c r="G21" s="17" t="s">
        <v>408</v>
      </c>
      <c r="H21" s="16" t="s">
        <v>409</v>
      </c>
      <c r="I21" s="16" t="s">
        <v>69</v>
      </c>
    </row>
    <row r="22" spans="1:9" x14ac:dyDescent="0.65">
      <c r="A22" s="15">
        <v>2</v>
      </c>
      <c r="B22" s="16" t="s">
        <v>410</v>
      </c>
      <c r="C22" s="16" t="s">
        <v>487</v>
      </c>
      <c r="D22" s="16" t="s">
        <v>412</v>
      </c>
      <c r="E22" s="16" t="s">
        <v>413</v>
      </c>
      <c r="F22" s="17" t="s">
        <v>414</v>
      </c>
      <c r="G22" s="17" t="s">
        <v>415</v>
      </c>
      <c r="H22" s="16" t="s">
        <v>409</v>
      </c>
      <c r="I22" s="16" t="s">
        <v>69</v>
      </c>
    </row>
    <row r="23" spans="1:9" x14ac:dyDescent="0.65">
      <c r="A23" s="15">
        <v>3</v>
      </c>
      <c r="B23" s="16" t="s">
        <v>416</v>
      </c>
      <c r="C23" s="16" t="s">
        <v>488</v>
      </c>
      <c r="D23" s="16" t="s">
        <v>418</v>
      </c>
      <c r="E23" s="16" t="s">
        <v>413</v>
      </c>
      <c r="F23" s="17" t="s">
        <v>419</v>
      </c>
      <c r="G23" s="17" t="s">
        <v>489</v>
      </c>
      <c r="H23" s="16" t="s">
        <v>409</v>
      </c>
      <c r="I23" s="16" t="s">
        <v>69</v>
      </c>
    </row>
    <row r="24" spans="1:9" x14ac:dyDescent="0.65">
      <c r="A24" s="15">
        <v>4</v>
      </c>
      <c r="B24" s="16" t="s">
        <v>421</v>
      </c>
      <c r="C24" s="16" t="s">
        <v>490</v>
      </c>
      <c r="D24" s="16" t="s">
        <v>423</v>
      </c>
      <c r="E24" s="16" t="s">
        <v>413</v>
      </c>
      <c r="F24" s="17" t="s">
        <v>424</v>
      </c>
      <c r="G24" s="17" t="s">
        <v>425</v>
      </c>
      <c r="H24" s="16" t="s">
        <v>409</v>
      </c>
      <c r="I24" s="16" t="s">
        <v>69</v>
      </c>
    </row>
    <row r="25" spans="1:9" x14ac:dyDescent="0.65">
      <c r="A25" s="15">
        <v>5</v>
      </c>
      <c r="B25" s="16" t="s">
        <v>431</v>
      </c>
      <c r="C25" s="16" t="s">
        <v>491</v>
      </c>
      <c r="D25" s="16" t="s">
        <v>433</v>
      </c>
      <c r="E25" s="16" t="s">
        <v>434</v>
      </c>
      <c r="F25" s="17" t="s">
        <v>435</v>
      </c>
      <c r="G25" s="19" t="s">
        <v>436</v>
      </c>
      <c r="H25" s="16" t="s">
        <v>409</v>
      </c>
      <c r="I25" s="16" t="s">
        <v>69</v>
      </c>
    </row>
    <row r="26" spans="1:9" x14ac:dyDescent="0.65">
      <c r="A26" s="126" t="s">
        <v>85</v>
      </c>
      <c r="B26" s="127"/>
      <c r="C26" s="128" t="s">
        <v>86</v>
      </c>
      <c r="D26" s="127"/>
    </row>
    <row r="27" spans="1:9" x14ac:dyDescent="0.65">
      <c r="A27" s="120" t="s">
        <v>87</v>
      </c>
      <c r="B27" s="121"/>
      <c r="C27" s="124">
        <f>COUNTIFS(Table35[Assigned users],"&lt;&gt;ว่าง")</f>
        <v>5</v>
      </c>
      <c r="D27" s="121"/>
    </row>
    <row r="28" spans="1:9" x14ac:dyDescent="0.65">
      <c r="A28" s="120" t="s">
        <v>88</v>
      </c>
      <c r="B28" s="121"/>
      <c r="C28" s="122">
        <f>COUNTIF(Table35[Assigned users],"ว่าง")</f>
        <v>0</v>
      </c>
      <c r="D28" s="123"/>
    </row>
    <row r="29" spans="1:9" x14ac:dyDescent="0.65">
      <c r="A29" s="120" t="s">
        <v>89</v>
      </c>
      <c r="B29" s="121"/>
      <c r="C29" s="124">
        <f>SUM(C27:C28)</f>
        <v>5</v>
      </c>
      <c r="D29" s="121"/>
    </row>
  </sheetData>
  <mergeCells count="20">
    <mergeCell ref="A1:I1"/>
    <mergeCell ref="A18:I18"/>
    <mergeCell ref="A2:I2"/>
    <mergeCell ref="A19:I19"/>
    <mergeCell ref="A11:B11"/>
    <mergeCell ref="C11:D11"/>
    <mergeCell ref="A12:B12"/>
    <mergeCell ref="C12:D12"/>
    <mergeCell ref="A13:B13"/>
    <mergeCell ref="C13:D13"/>
    <mergeCell ref="A14:B14"/>
    <mergeCell ref="C14:D14"/>
    <mergeCell ref="A29:B29"/>
    <mergeCell ref="C29:D29"/>
    <mergeCell ref="A26:B26"/>
    <mergeCell ref="C26:D26"/>
    <mergeCell ref="A27:B27"/>
    <mergeCell ref="C27:D27"/>
    <mergeCell ref="A28:B28"/>
    <mergeCell ref="C28:D28"/>
  </mergeCells>
  <conditionalFormatting sqref="A3:I3 B4:I5 B7:I7 B6:H6 B8:H8 B9:I10 B15:I16 E11:I14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{AAF928F5-84FB-440A-97F7-724007532A6C}</x14:id>
        </ext>
      </extLst>
    </cfRule>
  </conditionalFormatting>
  <conditionalFormatting sqref="A20:I20 B25:F25 C21:G24 I21:I25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{171B569B-9A6A-4014-9762-A1463025D2B7}</x14:id>
        </ext>
      </extLst>
    </cfRule>
  </conditionalFormatting>
  <conditionalFormatting sqref="B11:B14">
    <cfRule type="duplicateValues" dxfId="20" priority="4"/>
    <cfRule type="duplicateValues" dxfId="19" priority="5"/>
  </conditionalFormatting>
  <conditionalFormatting sqref="B21:B2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{9107CC63-26CB-46E3-900B-E39E2243AB74}</x14:id>
        </ext>
      </extLst>
    </cfRule>
  </conditionalFormatting>
  <conditionalFormatting sqref="B26:B29">
    <cfRule type="duplicateValues" dxfId="18" priority="1"/>
    <cfRule type="duplicateValues" dxfId="17" priority="2"/>
  </conditionalFormatting>
  <conditionalFormatting sqref="C11:D1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{06AE5694-F19F-496F-8ED1-097B426315CE}</x14:id>
        </ext>
      </extLst>
    </cfRule>
  </conditionalFormatting>
  <conditionalFormatting sqref="C26:D2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{160EFB03-8CFB-42D1-B56A-9EC47FDC18A4}</x14:id>
        </ext>
      </extLst>
    </cfRule>
  </conditionalFormatting>
  <conditionalFormatting sqref="H21:H25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{8C50264A-E665-44EA-99E9-C225EBC77716}</x14:id>
        </ext>
      </extLst>
    </cfRule>
  </conditionalFormatting>
  <hyperlinks>
    <hyperlink ref="F4" r:id="rId1" xr:uid="{D719BDB4-0E77-461F-9B3C-950B4FF19BFD}"/>
    <hyperlink ref="G4" r:id="rId2" xr:uid="{909066FE-30AA-4B7C-8311-2EFFBAD125B4}"/>
    <hyperlink ref="F5" r:id="rId3" xr:uid="{5D69077F-961A-4B68-B4D3-D76BEB8995F3}"/>
    <hyperlink ref="G5" r:id="rId4" xr:uid="{3D4F729A-B893-4B4B-94D8-1D8301B380CA}"/>
    <hyperlink ref="F6" r:id="rId5" xr:uid="{1011C61B-010B-4C58-855A-CE88DD5789DE}"/>
    <hyperlink ref="G6" r:id="rId6" xr:uid="{F0CFF5DD-F10F-46BA-A063-C1C9A89343C1}"/>
    <hyperlink ref="F7" r:id="rId7" xr:uid="{D09DF844-FAF4-4AAF-A486-9F40C69BEADF}"/>
    <hyperlink ref="G7" r:id="rId8" xr:uid="{956DD358-B77E-48B3-80FC-DCACE4FFE079}"/>
    <hyperlink ref="F9" r:id="rId9" xr:uid="{425F01CA-D217-415D-8486-FADB77DFA3C0}"/>
    <hyperlink ref="G9" r:id="rId10" xr:uid="{1BCEA927-F6B6-4138-B56B-46F8D38A364F}"/>
    <hyperlink ref="F10" r:id="rId11" xr:uid="{A86D9AB5-EA31-4B48-9EE1-20A1D83171CF}"/>
    <hyperlink ref="G10" r:id="rId12" xr:uid="{7DCC10B5-1F6F-4BA4-B405-250289AC8E47}"/>
    <hyperlink ref="F22" r:id="rId13" xr:uid="{BAF18B34-AA6C-4209-AA28-8AA8A6DD0ADE}"/>
    <hyperlink ref="F23" r:id="rId14" xr:uid="{CD9C21D5-32C8-4FC5-9C77-2D0EDED56B43}"/>
    <hyperlink ref="F25" r:id="rId15" xr:uid="{41CD817D-AA53-4B1B-A288-38D7E3C5F066}"/>
    <hyperlink ref="F24" r:id="rId16" xr:uid="{398D9D4B-8511-4698-8038-AE168C3437F8}"/>
    <hyperlink ref="G21" r:id="rId17" xr:uid="{619AB09E-3767-48EE-A53D-36B0CBCE194D}"/>
    <hyperlink ref="G22" r:id="rId18" xr:uid="{71635673-E93E-4CFA-9AE0-24CDE75E6B7D}"/>
    <hyperlink ref="G23" r:id="rId19" xr:uid="{C939D4A9-466F-4F47-A886-D77CE831D946}"/>
    <hyperlink ref="G24" r:id="rId20" xr:uid="{03EB12BE-8F8A-4651-B7C4-00C20A43E36A}"/>
    <hyperlink ref="F21" r:id="rId21" xr:uid="{D97F90FF-137D-46BA-81A6-E9AD063976B3}"/>
  </hyperlinks>
  <pageMargins left="0.7" right="0.7" top="0.75" bottom="0.75" header="0.3" footer="0.3"/>
  <pageSetup paperSize="256" orientation="portrait" r:id="rId22"/>
  <drawing r:id="rId23"/>
  <tableParts count="2">
    <tablePart r:id="rId24"/>
    <tablePart r:id="rId2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F928F5-84FB-440A-97F7-724007532A6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A3:I3 B4:I5 B7:I7 B6:H6 B8:H8 B9:I10 B15:I16 E11:I14</xm:sqref>
        </x14:conditionalFormatting>
        <x14:conditionalFormatting xmlns:xm="http://schemas.microsoft.com/office/excel/2006/main">
          <x14:cfRule type="dataBar" id="{171B569B-9A6A-4014-9762-A1463025D2B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A20:I20 B25:F25 C21:G24 I21:I25</xm:sqref>
        </x14:conditionalFormatting>
        <x14:conditionalFormatting xmlns:xm="http://schemas.microsoft.com/office/excel/2006/main">
          <x14:cfRule type="dataBar" id="{9107CC63-26CB-46E3-900B-E39E2243AB7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B21:B24</xm:sqref>
        </x14:conditionalFormatting>
        <x14:conditionalFormatting xmlns:xm="http://schemas.microsoft.com/office/excel/2006/main">
          <x14:cfRule type="dataBar" id="{06AE5694-F19F-496F-8ED1-097B426315C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C11:D11</xm:sqref>
        </x14:conditionalFormatting>
        <x14:conditionalFormatting xmlns:xm="http://schemas.microsoft.com/office/excel/2006/main">
          <x14:cfRule type="dataBar" id="{160EFB03-8CFB-42D1-B56A-9EC47FDC18A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C26:D26</xm:sqref>
        </x14:conditionalFormatting>
        <x14:conditionalFormatting xmlns:xm="http://schemas.microsoft.com/office/excel/2006/main">
          <x14:cfRule type="dataBar" id="{8C50264A-E665-44EA-99E9-C225EBC7771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H21:H25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BF84-7368-47F2-8DDC-7EE58CA7628B}">
  <dimension ref="A1:I29"/>
  <sheetViews>
    <sheetView tabSelected="1" zoomScaleNormal="100" workbookViewId="0">
      <selection activeCell="H14" sqref="H14"/>
    </sheetView>
  </sheetViews>
  <sheetFormatPr defaultColWidth="11.69921875" defaultRowHeight="25.8" x14ac:dyDescent="0.65"/>
  <cols>
    <col min="1" max="1" width="10.69921875" style="1" customWidth="1"/>
    <col min="2" max="2" width="33.8984375" style="1" customWidth="1"/>
    <col min="3" max="3" width="25.09765625" style="1" bestFit="1" customWidth="1"/>
    <col min="4" max="4" width="13.5" style="1" bestFit="1" customWidth="1"/>
    <col min="5" max="5" width="20.59765625" style="1" bestFit="1" customWidth="1"/>
    <col min="6" max="6" width="28" style="1" bestFit="1" customWidth="1"/>
    <col min="7" max="7" width="28.09765625" style="24" bestFit="1" customWidth="1"/>
    <col min="8" max="8" width="26" style="1" bestFit="1" customWidth="1"/>
    <col min="9" max="16384" width="11.69921875" style="1"/>
  </cols>
  <sheetData>
    <row r="1" spans="1:9" x14ac:dyDescent="0.65">
      <c r="A1" s="134" t="s">
        <v>492</v>
      </c>
      <c r="B1" s="134"/>
      <c r="C1" s="134"/>
      <c r="D1" s="134"/>
      <c r="E1" s="134"/>
      <c r="F1" s="134"/>
      <c r="G1" s="134"/>
      <c r="H1" s="134"/>
    </row>
    <row r="2" spans="1:9" x14ac:dyDescent="0.65">
      <c r="A2" s="134" t="s">
        <v>493</v>
      </c>
      <c r="B2" s="134"/>
      <c r="C2" s="134"/>
      <c r="D2" s="134"/>
      <c r="E2" s="134"/>
      <c r="F2" s="134"/>
      <c r="G2" s="134"/>
      <c r="H2" s="134"/>
    </row>
    <row r="3" spans="1:9" ht="26.4" x14ac:dyDescent="0.65">
      <c r="A3" s="20" t="s">
        <v>55</v>
      </c>
      <c r="B3" s="20" t="s">
        <v>56</v>
      </c>
      <c r="C3" s="20" t="s">
        <v>57</v>
      </c>
      <c r="D3" s="20" t="s">
        <v>58</v>
      </c>
      <c r="E3" s="20" t="s">
        <v>92</v>
      </c>
      <c r="F3" s="20" t="s">
        <v>60</v>
      </c>
      <c r="G3" s="21" t="s">
        <v>61</v>
      </c>
      <c r="H3" s="20" t="s">
        <v>63</v>
      </c>
      <c r="I3" s="105" t="s">
        <v>494</v>
      </c>
    </row>
    <row r="4" spans="1:9" x14ac:dyDescent="0.65">
      <c r="A4" s="15">
        <v>1</v>
      </c>
      <c r="B4" s="22" t="s">
        <v>280</v>
      </c>
      <c r="C4" s="16" t="s">
        <v>495</v>
      </c>
      <c r="D4" s="16" t="s">
        <v>282</v>
      </c>
      <c r="E4" s="16" t="s">
        <v>496</v>
      </c>
      <c r="F4" s="104" t="s">
        <v>283</v>
      </c>
      <c r="G4" s="104" t="s">
        <v>283</v>
      </c>
      <c r="H4" s="16" t="s">
        <v>397</v>
      </c>
      <c r="I4" s="5" t="s">
        <v>497</v>
      </c>
    </row>
    <row r="5" spans="1:9" x14ac:dyDescent="0.65">
      <c r="A5" s="15">
        <v>2</v>
      </c>
      <c r="B5" s="22" t="s">
        <v>285</v>
      </c>
      <c r="C5" s="16" t="s">
        <v>498</v>
      </c>
      <c r="D5" s="16" t="s">
        <v>287</v>
      </c>
      <c r="E5" s="16" t="s">
        <v>499</v>
      </c>
      <c r="F5" s="104" t="s">
        <v>288</v>
      </c>
      <c r="G5" s="104" t="s">
        <v>288</v>
      </c>
      <c r="H5" s="16" t="s">
        <v>284</v>
      </c>
      <c r="I5" s="5" t="s">
        <v>500</v>
      </c>
    </row>
    <row r="6" spans="1:9" x14ac:dyDescent="0.65">
      <c r="A6" s="15">
        <v>3</v>
      </c>
      <c r="B6" s="119" t="s">
        <v>501</v>
      </c>
      <c r="C6" s="106"/>
      <c r="D6" s="106"/>
      <c r="E6" s="106"/>
      <c r="F6" s="106"/>
      <c r="G6" s="107"/>
      <c r="H6" s="106" t="s">
        <v>502</v>
      </c>
      <c r="I6" s="5"/>
    </row>
    <row r="7" spans="1:9" x14ac:dyDescent="0.65">
      <c r="A7" s="15">
        <v>4</v>
      </c>
      <c r="B7" s="119" t="s">
        <v>503</v>
      </c>
      <c r="C7" s="16"/>
      <c r="D7" s="16"/>
      <c r="E7" s="16"/>
      <c r="F7" s="16"/>
      <c r="G7" s="53"/>
      <c r="H7" s="16" t="s">
        <v>284</v>
      </c>
      <c r="I7" s="5" t="s">
        <v>504</v>
      </c>
    </row>
    <row r="8" spans="1:9" x14ac:dyDescent="0.65">
      <c r="A8" s="15">
        <v>5</v>
      </c>
      <c r="B8" s="119" t="s">
        <v>505</v>
      </c>
      <c r="C8" s="16"/>
      <c r="D8" s="16"/>
      <c r="E8" s="16"/>
      <c r="F8" s="16"/>
      <c r="G8" s="53"/>
      <c r="H8" s="16" t="s">
        <v>397</v>
      </c>
      <c r="I8" s="5"/>
    </row>
    <row r="9" spans="1:9" x14ac:dyDescent="0.65">
      <c r="A9" s="15">
        <v>6</v>
      </c>
      <c r="B9" s="22" t="s">
        <v>70</v>
      </c>
      <c r="C9" s="16" t="s">
        <v>71</v>
      </c>
      <c r="D9" s="16" t="s">
        <v>72</v>
      </c>
      <c r="E9" s="16" t="s">
        <v>113</v>
      </c>
      <c r="F9" s="16" t="s">
        <v>74</v>
      </c>
      <c r="G9" s="53" t="s">
        <v>114</v>
      </c>
      <c r="H9" s="16" t="s">
        <v>99</v>
      </c>
      <c r="I9" s="5" t="s">
        <v>506</v>
      </c>
    </row>
    <row r="10" spans="1:9" x14ac:dyDescent="0.65">
      <c r="A10" s="15">
        <v>7</v>
      </c>
      <c r="B10" s="22" t="s">
        <v>507</v>
      </c>
      <c r="C10" s="16" t="s">
        <v>508</v>
      </c>
      <c r="D10" s="16" t="s">
        <v>388</v>
      </c>
      <c r="E10" s="16" t="s">
        <v>128</v>
      </c>
      <c r="F10" s="16" t="s">
        <v>389</v>
      </c>
      <c r="G10" s="53" t="s">
        <v>389</v>
      </c>
      <c r="H10" s="16" t="s">
        <v>274</v>
      </c>
      <c r="I10" s="5" t="s">
        <v>506</v>
      </c>
    </row>
    <row r="11" spans="1:9" x14ac:dyDescent="0.65">
      <c r="A11" s="15">
        <v>8</v>
      </c>
      <c r="B11" s="22" t="s">
        <v>509</v>
      </c>
      <c r="C11" s="16" t="s">
        <v>510</v>
      </c>
      <c r="D11" s="16" t="s">
        <v>159</v>
      </c>
      <c r="E11" s="16" t="s">
        <v>511</v>
      </c>
      <c r="F11" s="16" t="s">
        <v>161</v>
      </c>
      <c r="G11" s="53" t="s">
        <v>161</v>
      </c>
      <c r="H11" s="16" t="s">
        <v>146</v>
      </c>
      <c r="I11" s="5" t="s">
        <v>506</v>
      </c>
    </row>
    <row r="12" spans="1:9" x14ac:dyDescent="0.65">
      <c r="A12" s="15">
        <v>9</v>
      </c>
      <c r="B12" s="22" t="s">
        <v>512</v>
      </c>
      <c r="C12" s="16"/>
      <c r="D12" s="16"/>
      <c r="E12" s="16"/>
      <c r="F12" s="16"/>
      <c r="G12" s="53"/>
      <c r="H12" s="16" t="s">
        <v>513</v>
      </c>
      <c r="I12" s="5"/>
    </row>
    <row r="13" spans="1:9" x14ac:dyDescent="0.65">
      <c r="A13" s="15">
        <v>10</v>
      </c>
      <c r="B13" s="22" t="s">
        <v>514</v>
      </c>
      <c r="C13" s="16" t="s">
        <v>404</v>
      </c>
      <c r="D13" s="16" t="s">
        <v>405</v>
      </c>
      <c r="E13" s="16" t="s">
        <v>406</v>
      </c>
      <c r="F13" s="52" t="s">
        <v>407</v>
      </c>
      <c r="G13" s="52" t="s">
        <v>408</v>
      </c>
      <c r="H13" s="16" t="s">
        <v>409</v>
      </c>
      <c r="I13" s="5" t="s">
        <v>506</v>
      </c>
    </row>
    <row r="14" spans="1:9" x14ac:dyDescent="0.65">
      <c r="A14" s="126" t="s">
        <v>85</v>
      </c>
      <c r="B14" s="127"/>
      <c r="C14" s="128" t="s">
        <v>86</v>
      </c>
      <c r="D14" s="127"/>
      <c r="E14" s="16"/>
      <c r="F14" s="52"/>
      <c r="G14" s="52"/>
      <c r="H14" s="16"/>
    </row>
    <row r="15" spans="1:9" x14ac:dyDescent="0.65">
      <c r="A15" s="120" t="s">
        <v>87</v>
      </c>
      <c r="B15" s="121"/>
      <c r="C15" s="124">
        <f>COUNTIFS(Table5810[Assigned users],"&lt;&gt;ว่าง")</f>
        <v>10</v>
      </c>
      <c r="D15" s="121"/>
      <c r="E15" s="16"/>
      <c r="F15" s="52"/>
      <c r="G15" s="52"/>
      <c r="H15" s="16"/>
    </row>
    <row r="16" spans="1:9" x14ac:dyDescent="0.65">
      <c r="A16" s="120" t="s">
        <v>88</v>
      </c>
      <c r="B16" s="121"/>
      <c r="C16" s="122">
        <f>COUNTIF(Table5810[Assigned users],"ว่าง")</f>
        <v>0</v>
      </c>
      <c r="D16" s="123"/>
      <c r="E16" s="16"/>
      <c r="F16" s="52"/>
      <c r="G16" s="52"/>
      <c r="H16" s="16"/>
    </row>
    <row r="17" spans="1:9" x14ac:dyDescent="0.65">
      <c r="A17" s="120" t="s">
        <v>89</v>
      </c>
      <c r="B17" s="121"/>
      <c r="C17" s="124">
        <f>SUM(C15:C16)</f>
        <v>10</v>
      </c>
      <c r="D17" s="121"/>
      <c r="E17" s="16"/>
      <c r="F17" s="52"/>
      <c r="G17" s="52"/>
      <c r="H17" s="16"/>
    </row>
    <row r="18" spans="1:9" x14ac:dyDescent="0.65">
      <c r="A18" s="15"/>
      <c r="B18" s="22"/>
      <c r="C18" s="16"/>
      <c r="D18" s="16"/>
      <c r="E18" s="16"/>
      <c r="F18" s="52"/>
      <c r="G18" s="52"/>
      <c r="H18" s="16"/>
    </row>
    <row r="19" spans="1:9" x14ac:dyDescent="0.65">
      <c r="A19" s="15"/>
      <c r="B19" s="22"/>
      <c r="C19" s="16"/>
      <c r="D19" s="16"/>
      <c r="E19" s="16"/>
      <c r="F19" s="52"/>
      <c r="G19" s="52"/>
      <c r="H19" s="16"/>
    </row>
    <row r="21" spans="1:9" x14ac:dyDescent="0.65">
      <c r="A21" s="134" t="s">
        <v>515</v>
      </c>
      <c r="B21" s="134"/>
      <c r="C21" s="134"/>
      <c r="D21" s="134"/>
      <c r="E21" s="134"/>
      <c r="F21" s="134"/>
      <c r="G21" s="134"/>
      <c r="H21" s="134"/>
    </row>
    <row r="22" spans="1:9" x14ac:dyDescent="0.65">
      <c r="A22" s="134" t="s">
        <v>516</v>
      </c>
      <c r="B22" s="134"/>
      <c r="C22" s="134"/>
      <c r="D22" s="134"/>
      <c r="E22" s="134"/>
      <c r="F22" s="134"/>
      <c r="G22" s="134"/>
      <c r="H22" s="134"/>
      <c r="I22" s="35"/>
    </row>
    <row r="23" spans="1:9" ht="26.4" x14ac:dyDescent="0.65">
      <c r="A23" s="20" t="s">
        <v>55</v>
      </c>
      <c r="B23" s="20" t="s">
        <v>56</v>
      </c>
      <c r="C23" s="20" t="s">
        <v>57</v>
      </c>
      <c r="D23" s="20" t="s">
        <v>58</v>
      </c>
      <c r="E23" s="20" t="s">
        <v>92</v>
      </c>
      <c r="F23" s="20" t="s">
        <v>60</v>
      </c>
      <c r="G23" s="21" t="s">
        <v>61</v>
      </c>
      <c r="H23" s="20" t="s">
        <v>63</v>
      </c>
    </row>
    <row r="24" spans="1:9" x14ac:dyDescent="0.65">
      <c r="A24" s="15">
        <v>1</v>
      </c>
      <c r="B24" s="23"/>
      <c r="C24" s="16"/>
      <c r="D24" s="16"/>
      <c r="E24" s="16"/>
      <c r="F24" s="16"/>
      <c r="G24" s="53"/>
      <c r="H24" s="16"/>
    </row>
    <row r="25" spans="1:9" x14ac:dyDescent="0.65">
      <c r="A25" s="15">
        <v>2</v>
      </c>
      <c r="B25" s="16" t="s">
        <v>455</v>
      </c>
      <c r="C25" s="16" t="s">
        <v>456</v>
      </c>
      <c r="D25" s="16" t="s">
        <v>457</v>
      </c>
      <c r="E25" s="16" t="s">
        <v>441</v>
      </c>
      <c r="F25" s="16" t="s">
        <v>458</v>
      </c>
      <c r="G25" s="16" t="s">
        <v>458</v>
      </c>
      <c r="H25" s="16" t="s">
        <v>69</v>
      </c>
    </row>
    <row r="26" spans="1:9" x14ac:dyDescent="0.65">
      <c r="A26" s="126" t="s">
        <v>85</v>
      </c>
      <c r="B26" s="127"/>
      <c r="C26" s="128" t="s">
        <v>86</v>
      </c>
      <c r="D26" s="127"/>
    </row>
    <row r="27" spans="1:9" x14ac:dyDescent="0.65">
      <c r="A27" s="120" t="s">
        <v>87</v>
      </c>
      <c r="B27" s="121"/>
      <c r="C27" s="124">
        <f>COUNTIFS(Table10[Assigned users],"&lt;&gt;ว่าง")</f>
        <v>2</v>
      </c>
      <c r="D27" s="121"/>
    </row>
    <row r="28" spans="1:9" x14ac:dyDescent="0.65">
      <c r="A28" s="120" t="s">
        <v>88</v>
      </c>
      <c r="B28" s="121"/>
      <c r="C28" s="122">
        <f>COUNTIF(Table10[Assigned users],"ว่าง")</f>
        <v>0</v>
      </c>
      <c r="D28" s="123"/>
    </row>
    <row r="29" spans="1:9" x14ac:dyDescent="0.65">
      <c r="A29" s="120" t="s">
        <v>89</v>
      </c>
      <c r="B29" s="121"/>
      <c r="C29" s="124">
        <f>SUM(C27:C28)</f>
        <v>2</v>
      </c>
      <c r="D29" s="121"/>
    </row>
  </sheetData>
  <mergeCells count="20">
    <mergeCell ref="A21:H21"/>
    <mergeCell ref="A2:H2"/>
    <mergeCell ref="A22:H22"/>
    <mergeCell ref="A16:B16"/>
    <mergeCell ref="C16:D16"/>
    <mergeCell ref="A17:B17"/>
    <mergeCell ref="C17:D17"/>
    <mergeCell ref="A29:B29"/>
    <mergeCell ref="C29:D29"/>
    <mergeCell ref="A26:B26"/>
    <mergeCell ref="C26:D26"/>
    <mergeCell ref="A27:B27"/>
    <mergeCell ref="C27:D27"/>
    <mergeCell ref="A28:B28"/>
    <mergeCell ref="C28:D28"/>
    <mergeCell ref="A14:B14"/>
    <mergeCell ref="C14:D14"/>
    <mergeCell ref="A15:B15"/>
    <mergeCell ref="C15:D15"/>
    <mergeCell ref="A1:H1"/>
  </mergeCells>
  <conditionalFormatting sqref="A3:G3 C4:G12 H3:H12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{E595387F-8876-48B8-A2AD-AA1DC58A3B33}</x14:id>
        </ext>
      </extLst>
    </cfRule>
  </conditionalFormatting>
  <conditionalFormatting sqref="A23:H23 C24:H24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{94ECEA6F-9DAF-41FE-B5A4-930F3250EC14}</x14:id>
        </ext>
      </extLst>
    </cfRule>
  </conditionalFormatting>
  <conditionalFormatting sqref="B14:B17">
    <cfRule type="duplicateValues" dxfId="16" priority="4"/>
    <cfRule type="duplicateValues" dxfId="15" priority="5"/>
  </conditionalFormatting>
  <conditionalFormatting sqref="B26:B29">
    <cfRule type="duplicateValues" dxfId="14" priority="1"/>
    <cfRule type="duplicateValues" dxfId="13" priority="2"/>
  </conditionalFormatting>
  <conditionalFormatting sqref="B25:H25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{312184B5-785D-4947-8148-59A634670675}</x14:id>
        </ext>
      </extLst>
    </cfRule>
  </conditionalFormatting>
  <conditionalFormatting sqref="C14:D14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{4E51287D-D0A5-41A5-BDBA-F5B78C322175}</x14:id>
        </ext>
      </extLst>
    </cfRule>
  </conditionalFormatting>
  <conditionalFormatting sqref="C26:D2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{F82B4B29-FA2E-4B99-9FB1-8CA83E00B60D}</x14:id>
        </ext>
      </extLst>
    </cfRule>
  </conditionalFormatting>
  <conditionalFormatting sqref="C13:G13 C18:G19 E14:G17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{056486F8-02BF-4892-B88E-FABEFEBF733E}</x14:id>
        </ext>
      </extLst>
    </cfRule>
  </conditionalFormatting>
  <conditionalFormatting sqref="H13:H19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{0BA2C879-5A01-462A-A27A-D903BC62203B}</x14:id>
        </ext>
      </extLst>
    </cfRule>
  </conditionalFormatting>
  <hyperlinks>
    <hyperlink ref="G10" r:id="rId1" display="parinya.mec@gmail.com" xr:uid="{8ADE8823-6C91-4843-938C-DA420B2391E4}"/>
    <hyperlink ref="G11" r:id="rId2" display="rangson.t@mec-eng.co.th" xr:uid="{018304D2-1B20-47DA-A3A5-0B93AC25F2E1}"/>
    <hyperlink ref="G13" r:id="rId3" xr:uid="{10473E27-35E3-4409-BF85-0CF717EB77B6}"/>
    <hyperlink ref="F13" r:id="rId4" xr:uid="{7D64A3CD-C5DC-4877-A306-CD899A22C043}"/>
    <hyperlink ref="F4" r:id="rId5" xr:uid="{21CC2245-1DBD-4A2D-A4FA-0D6C7E50B06E}"/>
    <hyperlink ref="G4" r:id="rId6" xr:uid="{969FA153-4087-4FB9-BC98-B4D9BD4759C3}"/>
    <hyperlink ref="F5" r:id="rId7" xr:uid="{307E7236-621C-4CCF-91DB-69FA79C307D4}"/>
    <hyperlink ref="G5" r:id="rId8" xr:uid="{D42C7EAF-CDC5-4C24-8C0C-33B5CA8D324E}"/>
  </hyperlinks>
  <pageMargins left="0.7" right="0.7" top="0.75" bottom="0.75" header="0.3" footer="0.3"/>
  <drawing r:id="rId9"/>
  <tableParts count="2">
    <tablePart r:id="rId10"/>
    <tablePart r:id="rId1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95387F-8876-48B8-A2AD-AA1DC58A3B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A3:G3 C4:G12 H3:H12</xm:sqref>
        </x14:conditionalFormatting>
        <x14:conditionalFormatting xmlns:xm="http://schemas.microsoft.com/office/excel/2006/main">
          <x14:cfRule type="dataBar" id="{94ECEA6F-9DAF-41FE-B5A4-930F3250EC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A23:H23 C24:H24</xm:sqref>
        </x14:conditionalFormatting>
        <x14:conditionalFormatting xmlns:xm="http://schemas.microsoft.com/office/excel/2006/main">
          <x14:cfRule type="dataBar" id="{312184B5-785D-4947-8148-59A6346706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B25:H25</xm:sqref>
        </x14:conditionalFormatting>
        <x14:conditionalFormatting xmlns:xm="http://schemas.microsoft.com/office/excel/2006/main">
          <x14:cfRule type="dataBar" id="{4E51287D-D0A5-41A5-BDBA-F5B78C3221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C14:D14</xm:sqref>
        </x14:conditionalFormatting>
        <x14:conditionalFormatting xmlns:xm="http://schemas.microsoft.com/office/excel/2006/main">
          <x14:cfRule type="dataBar" id="{F82B4B29-FA2E-4B99-9FB1-8CA83E00B6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C26:D26</xm:sqref>
        </x14:conditionalFormatting>
        <x14:conditionalFormatting xmlns:xm="http://schemas.microsoft.com/office/excel/2006/main">
          <x14:cfRule type="dataBar" id="{056486F8-02BF-4892-B88E-FABEFEBF733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C13:G13 C18:G19 E14:G17</xm:sqref>
        </x14:conditionalFormatting>
        <x14:conditionalFormatting xmlns:xm="http://schemas.microsoft.com/office/excel/2006/main">
          <x14:cfRule type="dataBar" id="{0BA2C879-5A01-462A-A27A-D903BC6220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H13:H19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7361-3B51-453C-BDD5-0DAEB6B7ECCA}">
  <dimension ref="A1:G16"/>
  <sheetViews>
    <sheetView workbookViewId="0">
      <selection activeCell="E14" sqref="E14"/>
    </sheetView>
  </sheetViews>
  <sheetFormatPr defaultColWidth="9" defaultRowHeight="25.8" x14ac:dyDescent="0.65"/>
  <cols>
    <col min="1" max="1" width="9.5" style="1" bestFit="1" customWidth="1"/>
    <col min="2" max="2" width="16.09765625" style="1" bestFit="1" customWidth="1"/>
    <col min="3" max="3" width="17.8984375" style="1" bestFit="1" customWidth="1"/>
    <col min="4" max="4" width="16.3984375" style="1" bestFit="1" customWidth="1"/>
    <col min="5" max="5" width="25.59765625" style="1" bestFit="1" customWidth="1"/>
    <col min="6" max="6" width="21.69921875" style="1" bestFit="1" customWidth="1"/>
    <col min="7" max="7" width="13.09765625" style="1" bestFit="1" customWidth="1"/>
    <col min="8" max="16384" width="9" style="1"/>
  </cols>
  <sheetData>
    <row r="1" spans="1:7" x14ac:dyDescent="0.65">
      <c r="A1" s="134" t="s">
        <v>517</v>
      </c>
      <c r="B1" s="134"/>
      <c r="C1" s="134"/>
      <c r="D1" s="134"/>
      <c r="E1" s="134"/>
      <c r="F1" s="134"/>
      <c r="G1" s="134"/>
    </row>
    <row r="2" spans="1:7" ht="26.4" x14ac:dyDescent="0.65">
      <c r="A2" s="26" t="s">
        <v>55</v>
      </c>
      <c r="B2" s="26" t="s">
        <v>518</v>
      </c>
      <c r="C2" s="26" t="s">
        <v>519</v>
      </c>
      <c r="D2" s="26" t="s">
        <v>520</v>
      </c>
      <c r="E2" s="25" t="s">
        <v>60</v>
      </c>
      <c r="F2" s="30" t="s">
        <v>92</v>
      </c>
      <c r="G2" s="32" t="s">
        <v>521</v>
      </c>
    </row>
    <row r="3" spans="1:7" x14ac:dyDescent="0.65">
      <c r="A3" s="5">
        <v>1</v>
      </c>
      <c r="B3" s="27" t="s">
        <v>522</v>
      </c>
      <c r="C3" s="27" t="s">
        <v>523</v>
      </c>
      <c r="D3" s="27" t="s">
        <v>524</v>
      </c>
      <c r="E3" s="27" t="s">
        <v>525</v>
      </c>
      <c r="F3" s="27"/>
      <c r="G3" s="27" t="s">
        <v>69</v>
      </c>
    </row>
    <row r="4" spans="1:7" x14ac:dyDescent="0.65">
      <c r="A4" s="5">
        <v>2</v>
      </c>
      <c r="B4" s="27" t="s">
        <v>526</v>
      </c>
      <c r="C4" s="27" t="s">
        <v>527</v>
      </c>
      <c r="D4" s="27" t="s">
        <v>528</v>
      </c>
      <c r="E4" s="27" t="s">
        <v>529</v>
      </c>
      <c r="F4" s="27"/>
      <c r="G4" s="27" t="s">
        <v>69</v>
      </c>
    </row>
    <row r="5" spans="1:7" x14ac:dyDescent="0.65">
      <c r="A5" s="5">
        <v>3</v>
      </c>
      <c r="B5" s="27" t="s">
        <v>530</v>
      </c>
      <c r="C5" s="27" t="s">
        <v>531</v>
      </c>
      <c r="D5" s="27" t="s">
        <v>532</v>
      </c>
      <c r="E5" s="27" t="s">
        <v>533</v>
      </c>
      <c r="F5" s="27"/>
      <c r="G5" s="27" t="s">
        <v>69</v>
      </c>
    </row>
    <row r="6" spans="1:7" x14ac:dyDescent="0.65">
      <c r="A6" s="5">
        <v>4</v>
      </c>
      <c r="B6" s="27" t="s">
        <v>534</v>
      </c>
      <c r="C6" s="27" t="s">
        <v>535</v>
      </c>
      <c r="D6" s="27" t="s">
        <v>536</v>
      </c>
      <c r="E6" s="27" t="s">
        <v>537</v>
      </c>
      <c r="F6" s="27"/>
      <c r="G6" s="27" t="s">
        <v>69</v>
      </c>
    </row>
    <row r="7" spans="1:7" x14ac:dyDescent="0.65">
      <c r="A7" s="5">
        <v>5</v>
      </c>
      <c r="B7" s="27" t="s">
        <v>538</v>
      </c>
      <c r="C7" s="27" t="s">
        <v>539</v>
      </c>
      <c r="D7" s="27" t="s">
        <v>540</v>
      </c>
      <c r="E7" s="27" t="s">
        <v>541</v>
      </c>
      <c r="F7" s="27"/>
      <c r="G7" s="27" t="s">
        <v>69</v>
      </c>
    </row>
    <row r="8" spans="1:7" x14ac:dyDescent="0.65">
      <c r="A8" s="5">
        <v>6</v>
      </c>
      <c r="B8" s="27" t="s">
        <v>542</v>
      </c>
      <c r="C8" s="27" t="s">
        <v>543</v>
      </c>
      <c r="D8" s="27" t="s">
        <v>544</v>
      </c>
      <c r="E8" s="27" t="s">
        <v>545</v>
      </c>
      <c r="F8" s="27"/>
      <c r="G8" s="27" t="s">
        <v>69</v>
      </c>
    </row>
    <row r="9" spans="1:7" x14ac:dyDescent="0.65">
      <c r="A9" s="5">
        <v>7</v>
      </c>
      <c r="B9" s="27" t="s">
        <v>546</v>
      </c>
      <c r="C9" s="27" t="s">
        <v>547</v>
      </c>
      <c r="D9" s="27" t="s">
        <v>548</v>
      </c>
      <c r="E9" s="27" t="s">
        <v>549</v>
      </c>
      <c r="F9" s="27"/>
      <c r="G9" s="27" t="s">
        <v>69</v>
      </c>
    </row>
    <row r="10" spans="1:7" x14ac:dyDescent="0.65">
      <c r="A10" s="5">
        <v>8</v>
      </c>
      <c r="B10" s="27" t="s">
        <v>550</v>
      </c>
      <c r="C10" s="27" t="s">
        <v>551</v>
      </c>
      <c r="D10" s="27" t="s">
        <v>528</v>
      </c>
      <c r="E10" s="27" t="s">
        <v>552</v>
      </c>
      <c r="F10" s="27"/>
      <c r="G10" s="27" t="s">
        <v>69</v>
      </c>
    </row>
    <row r="11" spans="1:7" x14ac:dyDescent="0.65">
      <c r="A11" s="5">
        <v>9</v>
      </c>
      <c r="B11" s="27" t="s">
        <v>84</v>
      </c>
      <c r="C11" s="27"/>
      <c r="D11" s="27"/>
      <c r="E11" s="27"/>
      <c r="F11" s="27"/>
      <c r="G11" s="33"/>
    </row>
    <row r="12" spans="1:7" x14ac:dyDescent="0.65">
      <c r="A12" s="5">
        <v>10</v>
      </c>
      <c r="B12" s="27" t="s">
        <v>84</v>
      </c>
      <c r="C12" s="27"/>
      <c r="D12" s="27"/>
      <c r="E12" s="27"/>
      <c r="F12" s="27"/>
      <c r="G12" s="33"/>
    </row>
    <row r="13" spans="1:7" x14ac:dyDescent="0.65">
      <c r="A13" s="126" t="s">
        <v>85</v>
      </c>
      <c r="B13" s="127"/>
      <c r="C13" s="128" t="s">
        <v>86</v>
      </c>
      <c r="D13" s="127"/>
    </row>
    <row r="14" spans="1:7" x14ac:dyDescent="0.65">
      <c r="A14" s="120" t="s">
        <v>87</v>
      </c>
      <c r="B14" s="121"/>
      <c r="C14" s="124">
        <f>COUNTIFS(Table12[Display name],"&lt;&gt;ว่าง")</f>
        <v>8</v>
      </c>
      <c r="D14" s="121"/>
    </row>
    <row r="15" spans="1:7" x14ac:dyDescent="0.65">
      <c r="A15" s="120" t="s">
        <v>88</v>
      </c>
      <c r="B15" s="121"/>
      <c r="C15" s="122">
        <f>COUNTIF(Table12[Display name],"ว่าง")</f>
        <v>2</v>
      </c>
      <c r="D15" s="123"/>
    </row>
    <row r="16" spans="1:7" x14ac:dyDescent="0.65">
      <c r="A16" s="120" t="s">
        <v>89</v>
      </c>
      <c r="B16" s="121"/>
      <c r="C16" s="124">
        <f>SUM(C14:C15)</f>
        <v>10</v>
      </c>
      <c r="D16" s="121"/>
    </row>
  </sheetData>
  <mergeCells count="9">
    <mergeCell ref="A15:B15"/>
    <mergeCell ref="C15:D15"/>
    <mergeCell ref="A16:B16"/>
    <mergeCell ref="C16:D16"/>
    <mergeCell ref="A1:G1"/>
    <mergeCell ref="A13:B13"/>
    <mergeCell ref="C13:D13"/>
    <mergeCell ref="A14:B14"/>
    <mergeCell ref="C14:D14"/>
  </mergeCells>
  <conditionalFormatting sqref="B13:B16">
    <cfRule type="duplicateValues" dxfId="12" priority="1"/>
    <cfRule type="duplicateValues" dxfId="11" priority="2"/>
  </conditionalFormatting>
  <conditionalFormatting sqref="C13:D13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{CB7B0F0D-2C98-4F24-BABA-54679A70F4BE}</x14:id>
        </ext>
      </extLst>
    </cfRule>
  </conditionalFormatting>
  <conditionalFormatting sqref="E2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{24A1B573-E516-4F9A-B5F1-72A4F0D027FC}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7B0F0D-2C98-4F24-BABA-54679A70F4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C13:D13</xm:sqref>
        </x14:conditionalFormatting>
        <x14:conditionalFormatting xmlns:xm="http://schemas.microsoft.com/office/excel/2006/main">
          <x14:cfRule type="dataBar" id="{24A1B573-E516-4F9A-B5F1-72A4F0D027F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B9DC-1F46-41BA-B7EF-E51A48847966}">
  <dimension ref="A1:G167"/>
  <sheetViews>
    <sheetView topLeftCell="A48" workbookViewId="0">
      <selection activeCell="B63" sqref="B63:G63"/>
    </sheetView>
  </sheetViews>
  <sheetFormatPr defaultColWidth="9" defaultRowHeight="25.8" x14ac:dyDescent="0.65"/>
  <cols>
    <col min="1" max="1" width="9.5" style="1" bestFit="1" customWidth="1"/>
    <col min="2" max="2" width="28.8984375" style="1" bestFit="1" customWidth="1"/>
    <col min="3" max="3" width="13.8984375" style="1" customWidth="1"/>
    <col min="4" max="4" width="20.19921875" style="1" customWidth="1"/>
    <col min="5" max="5" width="28.09765625" style="1" bestFit="1" customWidth="1"/>
    <col min="6" max="6" width="45.59765625" style="1" bestFit="1" customWidth="1"/>
    <col min="7" max="7" width="24.59765625" style="1" bestFit="1" customWidth="1"/>
    <col min="8" max="16384" width="9" style="1"/>
  </cols>
  <sheetData>
    <row r="1" spans="1:7" x14ac:dyDescent="0.65">
      <c r="A1" s="134" t="s">
        <v>553</v>
      </c>
      <c r="B1" s="134"/>
      <c r="C1" s="134"/>
      <c r="D1" s="134"/>
      <c r="E1" s="134"/>
      <c r="F1" s="134"/>
      <c r="G1" s="134"/>
    </row>
    <row r="2" spans="1:7" ht="26.4" x14ac:dyDescent="0.65">
      <c r="A2" s="29" t="s">
        <v>55</v>
      </c>
      <c r="B2" s="30" t="s">
        <v>518</v>
      </c>
      <c r="C2" s="30" t="s">
        <v>519</v>
      </c>
      <c r="D2" s="30" t="s">
        <v>520</v>
      </c>
      <c r="E2" s="28" t="s">
        <v>60</v>
      </c>
      <c r="F2" s="30" t="s">
        <v>92</v>
      </c>
      <c r="G2" s="30" t="s">
        <v>521</v>
      </c>
    </row>
    <row r="3" spans="1:7" x14ac:dyDescent="0.65">
      <c r="A3" s="31">
        <v>1</v>
      </c>
      <c r="B3" s="27" t="s">
        <v>554</v>
      </c>
      <c r="C3" s="98" t="str" cm="1">
        <f t="array" ref="C3">INDEX(_xlfn.TEXTSPLIT(Table14[[#This Row],[Display name]], " "), 2)</f>
        <v>Aiyanat</v>
      </c>
      <c r="D3" s="98" t="s">
        <v>555</v>
      </c>
      <c r="E3" s="27" t="s">
        <v>556</v>
      </c>
      <c r="F3" s="27" t="s">
        <v>557</v>
      </c>
      <c r="G3" s="27" t="s">
        <v>69</v>
      </c>
    </row>
    <row r="4" spans="1:7" x14ac:dyDescent="0.65">
      <c r="A4" s="31">
        <v>2</v>
      </c>
      <c r="B4" s="27" t="s">
        <v>558</v>
      </c>
      <c r="C4" s="98" t="str" cm="1">
        <f t="array" ref="C4">INDEX(_xlfn.TEXTSPLIT(Table14[[#This Row],[Display name]], " "), 2)</f>
        <v>Angkana</v>
      </c>
      <c r="D4" s="98" t="s">
        <v>559</v>
      </c>
      <c r="E4" s="27" t="s">
        <v>560</v>
      </c>
      <c r="F4" s="27" t="s">
        <v>561</v>
      </c>
      <c r="G4" s="27" t="s">
        <v>140</v>
      </c>
    </row>
    <row r="5" spans="1:7" x14ac:dyDescent="0.65">
      <c r="A5" s="31">
        <v>3</v>
      </c>
      <c r="B5" s="27" t="s">
        <v>562</v>
      </c>
      <c r="C5" s="98" t="str" cm="1">
        <f t="array" ref="C5">INDEX(_xlfn.TEXTSPLIT(Table14[[#This Row],[Display name]], " "), 2)</f>
        <v>Anurak</v>
      </c>
      <c r="D5" s="98" t="s">
        <v>563</v>
      </c>
      <c r="E5" s="27" t="s">
        <v>564</v>
      </c>
      <c r="F5" s="27" t="s">
        <v>561</v>
      </c>
      <c r="G5" s="27" t="s">
        <v>565</v>
      </c>
    </row>
    <row r="6" spans="1:7" x14ac:dyDescent="0.65">
      <c r="A6" s="31">
        <v>4</v>
      </c>
      <c r="B6" s="96" t="s">
        <v>566</v>
      </c>
      <c r="C6" s="44" t="str" cm="1">
        <f t="array" ref="C6">INDEX(_xlfn.TEXTSPLIT(Table14[[#This Row],[Display name]], " "), 2)</f>
        <v>Apichat</v>
      </c>
      <c r="D6" s="44" t="s">
        <v>567</v>
      </c>
      <c r="E6" s="97" t="s">
        <v>98</v>
      </c>
      <c r="F6" s="96" t="s">
        <v>96</v>
      </c>
      <c r="G6" s="96" t="s">
        <v>100</v>
      </c>
    </row>
    <row r="7" spans="1:7" x14ac:dyDescent="0.65">
      <c r="A7" s="31">
        <v>5</v>
      </c>
      <c r="B7" s="27" t="s">
        <v>568</v>
      </c>
      <c r="C7" s="98" t="str" cm="1">
        <f t="array" ref="C7">INDEX(_xlfn.TEXTSPLIT(Table14[[#This Row],[Display name]], " "), 2)</f>
        <v>Apipong</v>
      </c>
      <c r="D7" s="98" t="s">
        <v>569</v>
      </c>
      <c r="E7" s="27" t="s">
        <v>570</v>
      </c>
      <c r="F7" s="27" t="s">
        <v>571</v>
      </c>
      <c r="G7" s="27" t="s">
        <v>69</v>
      </c>
    </row>
    <row r="8" spans="1:7" x14ac:dyDescent="0.65">
      <c r="A8" s="31">
        <v>6</v>
      </c>
      <c r="B8" s="27" t="s">
        <v>572</v>
      </c>
      <c r="C8" s="98" t="str" cm="1">
        <f t="array" ref="C8">INDEX(_xlfn.TEXTSPLIT(Table14[[#This Row],[Display name]], " "), 2)</f>
        <v>Arnut</v>
      </c>
      <c r="D8" s="98" t="s">
        <v>573</v>
      </c>
      <c r="E8" s="27" t="s">
        <v>464</v>
      </c>
      <c r="F8" s="27" t="s">
        <v>400</v>
      </c>
      <c r="G8" s="27" t="s">
        <v>274</v>
      </c>
    </row>
    <row r="9" spans="1:7" x14ac:dyDescent="0.65">
      <c r="A9" s="31">
        <v>7</v>
      </c>
      <c r="B9" s="27" t="s">
        <v>574</v>
      </c>
      <c r="C9" s="98" t="str" cm="1">
        <f t="array" ref="C9">INDEX(_xlfn.TEXTSPLIT(Table14[[#This Row],[Display name]], " "), 2)</f>
        <v>Benjamat</v>
      </c>
      <c r="D9" s="98" t="s">
        <v>575</v>
      </c>
      <c r="E9" s="27" t="s">
        <v>576</v>
      </c>
      <c r="F9" s="27" t="s">
        <v>577</v>
      </c>
      <c r="G9" s="27" t="s">
        <v>146</v>
      </c>
    </row>
    <row r="10" spans="1:7" x14ac:dyDescent="0.65">
      <c r="A10" s="31">
        <v>8</v>
      </c>
      <c r="B10" s="27" t="s">
        <v>578</v>
      </c>
      <c r="C10" s="98" t="str" cm="1">
        <f t="array" ref="C10">INDEX(_xlfn.TEXTSPLIT(Table14[[#This Row],[Display name]], " "), 2)</f>
        <v>Bhusayamast</v>
      </c>
      <c r="D10" s="98" t="s">
        <v>579</v>
      </c>
      <c r="E10" s="27" t="s">
        <v>580</v>
      </c>
      <c r="F10" s="27" t="s">
        <v>581</v>
      </c>
      <c r="G10" s="27" t="s">
        <v>69</v>
      </c>
    </row>
    <row r="11" spans="1:7" x14ac:dyDescent="0.65">
      <c r="A11" s="31">
        <v>9</v>
      </c>
      <c r="B11" s="27" t="s">
        <v>582</v>
      </c>
      <c r="C11" s="98" t="str" cm="1">
        <f t="array" ref="C11">INDEX(_xlfn.TEXTSPLIT(Table14[[#This Row],[Display name]], " "), 2)</f>
        <v>Chaiwat</v>
      </c>
      <c r="D11" s="98" t="s">
        <v>583</v>
      </c>
      <c r="E11" s="27" t="s">
        <v>304</v>
      </c>
      <c r="F11" s="27" t="s">
        <v>584</v>
      </c>
      <c r="G11" s="27" t="s">
        <v>69</v>
      </c>
    </row>
    <row r="12" spans="1:7" x14ac:dyDescent="0.65">
      <c r="A12" s="31">
        <v>10</v>
      </c>
      <c r="B12" s="99" t="s">
        <v>585</v>
      </c>
      <c r="C12" s="98" t="str" cm="1">
        <f t="array" ref="C12">INDEX(_xlfn.TEXTSPLIT(Table14[[#This Row],[Display name]], " "), 2)</f>
        <v>Chalita</v>
      </c>
      <c r="D12" s="98" t="s">
        <v>586</v>
      </c>
      <c r="E12" s="100" t="s">
        <v>587</v>
      </c>
      <c r="F12" s="42" t="s">
        <v>588</v>
      </c>
      <c r="G12" s="42" t="s">
        <v>146</v>
      </c>
    </row>
    <row r="13" spans="1:7" x14ac:dyDescent="0.65">
      <c r="A13" s="31">
        <v>11</v>
      </c>
      <c r="B13" s="27" t="s">
        <v>589</v>
      </c>
      <c r="C13" s="98" t="str" cm="1">
        <f t="array" ref="C13">INDEX(_xlfn.TEXTSPLIT(Table14[[#This Row],[Display name]], " "), 2)</f>
        <v>Chirawat</v>
      </c>
      <c r="D13" s="98" t="s">
        <v>590</v>
      </c>
      <c r="E13" s="27" t="s">
        <v>309</v>
      </c>
      <c r="F13" s="101" t="s">
        <v>591</v>
      </c>
      <c r="G13" s="101" t="s">
        <v>592</v>
      </c>
    </row>
    <row r="14" spans="1:7" x14ac:dyDescent="0.65">
      <c r="A14" s="31">
        <v>12</v>
      </c>
      <c r="B14" s="27" t="s">
        <v>593</v>
      </c>
      <c r="C14" s="98" t="str" cm="1">
        <f t="array" ref="C14">INDEX(_xlfn.TEXTSPLIT(Table14[[#This Row],[Display name]], " "), 2)</f>
        <v>Chissanupong</v>
      </c>
      <c r="D14" s="98" t="s">
        <v>594</v>
      </c>
      <c r="E14" s="27" t="s">
        <v>314</v>
      </c>
      <c r="F14" s="27" t="s">
        <v>595</v>
      </c>
      <c r="G14" s="27" t="s">
        <v>69</v>
      </c>
    </row>
    <row r="15" spans="1:7" x14ac:dyDescent="0.65">
      <c r="A15" s="31">
        <v>13</v>
      </c>
      <c r="B15" s="27" t="s">
        <v>596</v>
      </c>
      <c r="C15" s="98" t="str" cm="1">
        <f t="array" ref="C15">INDEX(_xlfn.TEXTSPLIT(Table14[[#This Row],[Display name]], " "), 2)</f>
        <v>Damrongkiat</v>
      </c>
      <c r="D15" s="98" t="s">
        <v>597</v>
      </c>
      <c r="E15" s="27" t="s">
        <v>598</v>
      </c>
      <c r="F15" s="27" t="s">
        <v>96</v>
      </c>
      <c r="G15" s="27" t="s">
        <v>179</v>
      </c>
    </row>
    <row r="16" spans="1:7" x14ac:dyDescent="0.65">
      <c r="A16" s="31">
        <v>14</v>
      </c>
      <c r="B16" s="27" t="s">
        <v>599</v>
      </c>
      <c r="C16" s="98" t="str" cm="1">
        <f t="array" ref="C16">INDEX(_xlfn.TEXTSPLIT(Table14[[#This Row],[Display name]], " "), 2)</f>
        <v>Decha</v>
      </c>
      <c r="D16" s="98" t="s">
        <v>600</v>
      </c>
      <c r="E16" s="27" t="s">
        <v>469</v>
      </c>
      <c r="F16" s="27" t="s">
        <v>468</v>
      </c>
      <c r="G16" s="27" t="s">
        <v>146</v>
      </c>
    </row>
    <row r="17" spans="1:7" x14ac:dyDescent="0.65">
      <c r="A17" s="31">
        <v>15</v>
      </c>
      <c r="B17" s="27" t="s">
        <v>601</v>
      </c>
      <c r="C17" s="98" t="str" cm="1">
        <f t="array" ref="C17">INDEX(_xlfn.TEXTSPLIT(Table14[[#This Row],[Display name]], " "), 2)</f>
        <v>Detsakda</v>
      </c>
      <c r="D17" s="98" t="s">
        <v>602</v>
      </c>
      <c r="E17" s="27" t="s">
        <v>603</v>
      </c>
      <c r="F17" s="27" t="s">
        <v>604</v>
      </c>
      <c r="G17" s="27" t="s">
        <v>69</v>
      </c>
    </row>
    <row r="18" spans="1:7" x14ac:dyDescent="0.65">
      <c r="A18" s="31">
        <v>16</v>
      </c>
      <c r="B18" s="27" t="s">
        <v>605</v>
      </c>
      <c r="C18" s="98" t="str" cm="1">
        <f t="array" ref="C18">INDEX(_xlfn.TEXTSPLIT(Table14[[#This Row],[Display name]], " "), 2)</f>
        <v>Ittidate</v>
      </c>
      <c r="D18" s="98" t="s">
        <v>606</v>
      </c>
      <c r="E18" s="27" t="s">
        <v>607</v>
      </c>
      <c r="F18" s="27" t="s">
        <v>96</v>
      </c>
      <c r="G18" s="27" t="s">
        <v>205</v>
      </c>
    </row>
    <row r="19" spans="1:7" x14ac:dyDescent="0.65">
      <c r="A19" s="31">
        <v>17</v>
      </c>
      <c r="B19" s="27" t="s">
        <v>608</v>
      </c>
      <c r="C19" s="98" t="str" cm="1">
        <f t="array" ref="C19">INDEX(_xlfn.TEXTSPLIT(Table14[[#This Row],[Display name]], " "), 2)</f>
        <v>Jatupol</v>
      </c>
      <c r="D19" s="98" t="s">
        <v>609</v>
      </c>
      <c r="E19" s="27" t="s">
        <v>610</v>
      </c>
      <c r="F19" s="27" t="s">
        <v>557</v>
      </c>
      <c r="G19" s="27" t="s">
        <v>69</v>
      </c>
    </row>
    <row r="20" spans="1:7" x14ac:dyDescent="0.65">
      <c r="A20" s="31">
        <v>18</v>
      </c>
      <c r="B20" s="27" t="s">
        <v>611</v>
      </c>
      <c r="C20" s="98" t="str" cm="1">
        <f t="array" ref="C20">INDEX(_xlfn.TEXTSPLIT(Table14[[#This Row],[Display name]], " "), 2)</f>
        <v>Jerapa</v>
      </c>
      <c r="D20" s="98" t="s">
        <v>612</v>
      </c>
      <c r="E20" s="27" t="s">
        <v>613</v>
      </c>
      <c r="F20" s="27" t="s">
        <v>614</v>
      </c>
      <c r="G20" s="27" t="s">
        <v>274</v>
      </c>
    </row>
    <row r="21" spans="1:7" x14ac:dyDescent="0.65">
      <c r="A21" s="31">
        <v>19</v>
      </c>
      <c r="B21" s="27" t="s">
        <v>615</v>
      </c>
      <c r="C21" s="98" t="str" cm="1">
        <f t="array" ref="C21">INDEX(_xlfn.TEXTSPLIT(Table14[[#This Row],[Display name]], " "), 2)</f>
        <v>Jiraporn</v>
      </c>
      <c r="D21" s="98" t="s">
        <v>616</v>
      </c>
      <c r="E21" s="27" t="s">
        <v>617</v>
      </c>
      <c r="F21" s="27" t="s">
        <v>618</v>
      </c>
      <c r="G21" s="27" t="s">
        <v>69</v>
      </c>
    </row>
    <row r="22" spans="1:7" x14ac:dyDescent="0.65">
      <c r="A22" s="31">
        <v>20</v>
      </c>
      <c r="B22" s="27" t="s">
        <v>619</v>
      </c>
      <c r="C22" s="98" t="str" cm="1">
        <f t="array" ref="C22">INDEX(_xlfn.TEXTSPLIT(Table14[[#This Row],[Display name]], " "), 2)</f>
        <v>Kanitta</v>
      </c>
      <c r="D22" s="98" t="s">
        <v>620</v>
      </c>
      <c r="E22" s="27" t="s">
        <v>621</v>
      </c>
      <c r="F22" s="27" t="s">
        <v>622</v>
      </c>
      <c r="G22" s="27" t="s">
        <v>69</v>
      </c>
    </row>
    <row r="23" spans="1:7" x14ac:dyDescent="0.65">
      <c r="A23" s="31">
        <v>21</v>
      </c>
      <c r="B23" s="27" t="s">
        <v>623</v>
      </c>
      <c r="C23" s="98" t="str" cm="1">
        <f t="array" ref="C23">INDEX(_xlfn.TEXTSPLIT(Table14[[#This Row],[Display name]], " "), 2)</f>
        <v>Kanjanapha</v>
      </c>
      <c r="D23" s="98" t="s">
        <v>624</v>
      </c>
      <c r="E23" s="27" t="s">
        <v>625</v>
      </c>
      <c r="F23" s="27" t="s">
        <v>614</v>
      </c>
      <c r="G23" s="27"/>
    </row>
    <row r="24" spans="1:7" x14ac:dyDescent="0.65">
      <c r="A24" s="31">
        <v>22</v>
      </c>
      <c r="B24" s="27" t="s">
        <v>626</v>
      </c>
      <c r="C24" s="98" t="str" cm="1">
        <f t="array" ref="C24">INDEX(_xlfn.TEXTSPLIT(Table14[[#This Row],[Display name]], " "), 2)</f>
        <v>Kanok</v>
      </c>
      <c r="D24" s="98" t="s">
        <v>627</v>
      </c>
      <c r="E24" s="27" t="s">
        <v>628</v>
      </c>
      <c r="F24" s="27" t="s">
        <v>588</v>
      </c>
      <c r="G24" s="27" t="s">
        <v>140</v>
      </c>
    </row>
    <row r="25" spans="1:7" x14ac:dyDescent="0.65">
      <c r="A25" s="31">
        <v>23</v>
      </c>
      <c r="B25" s="27" t="s">
        <v>629</v>
      </c>
      <c r="C25" s="98" t="str" cm="1">
        <f t="array" ref="C25">INDEX(_xlfn.TEXTSPLIT(Table14[[#This Row],[Display name]], " "), 2)</f>
        <v>Kanokphon</v>
      </c>
      <c r="D25" s="98" t="s">
        <v>630</v>
      </c>
      <c r="E25" s="27" t="s">
        <v>631</v>
      </c>
      <c r="F25" s="27" t="s">
        <v>632</v>
      </c>
      <c r="G25" s="27" t="s">
        <v>219</v>
      </c>
    </row>
    <row r="26" spans="1:7" x14ac:dyDescent="0.65">
      <c r="A26" s="31">
        <v>24</v>
      </c>
      <c r="B26" s="27" t="s">
        <v>84</v>
      </c>
      <c r="C26" s="98"/>
      <c r="D26" s="98"/>
      <c r="E26" s="27"/>
      <c r="F26" s="27"/>
      <c r="G26" s="27"/>
    </row>
    <row r="27" spans="1:7" x14ac:dyDescent="0.65">
      <c r="A27" s="31">
        <v>25</v>
      </c>
      <c r="B27" s="27" t="s">
        <v>633</v>
      </c>
      <c r="C27" s="98" t="str" cm="1">
        <f t="array" ref="C27">INDEX(_xlfn.TEXTSPLIT(Table14[[#This Row],[Display name]], " "), 2)</f>
        <v>Kanraya</v>
      </c>
      <c r="D27" s="98" t="s">
        <v>634</v>
      </c>
      <c r="E27" s="27" t="s">
        <v>635</v>
      </c>
      <c r="F27" s="27" t="s">
        <v>636</v>
      </c>
      <c r="G27" s="27" t="s">
        <v>69</v>
      </c>
    </row>
    <row r="28" spans="1:7" x14ac:dyDescent="0.65">
      <c r="A28" s="31">
        <v>26</v>
      </c>
      <c r="B28" s="27" t="s">
        <v>637</v>
      </c>
      <c r="C28" s="98" t="str" cm="1">
        <f t="array" ref="C28">INDEX(_xlfn.TEXTSPLIT(Table14[[#This Row],[Display name]], " "), 2)</f>
        <v>Kanyapuk</v>
      </c>
      <c r="D28" s="98" t="s">
        <v>638</v>
      </c>
      <c r="E28" s="27" t="s">
        <v>639</v>
      </c>
      <c r="F28" s="27" t="s">
        <v>577</v>
      </c>
      <c r="G28" s="27" t="s">
        <v>219</v>
      </c>
    </row>
    <row r="29" spans="1:7" x14ac:dyDescent="0.65">
      <c r="A29" s="31">
        <v>27</v>
      </c>
      <c r="B29" s="27" t="s">
        <v>640</v>
      </c>
      <c r="C29" s="98" t="str" cm="1">
        <f t="array" ref="C29">INDEX(_xlfn.TEXTSPLIT(Table14[[#This Row],[Display name]], " "), 2)</f>
        <v>Ketkanok</v>
      </c>
      <c r="D29" s="98" t="s">
        <v>641</v>
      </c>
      <c r="E29" s="27" t="s">
        <v>642</v>
      </c>
      <c r="F29" s="27" t="s">
        <v>588</v>
      </c>
      <c r="G29" s="27" t="s">
        <v>140</v>
      </c>
    </row>
    <row r="30" spans="1:7" x14ac:dyDescent="0.65">
      <c r="A30" s="31">
        <v>28</v>
      </c>
      <c r="B30" s="27" t="s">
        <v>643</v>
      </c>
      <c r="C30" s="98" t="str" cm="1">
        <f t="array" ref="C30">INDEX(_xlfn.TEXTSPLIT(Table14[[#This Row],[Display name]], " "), 2)</f>
        <v>Khongsak</v>
      </c>
      <c r="D30" s="98" t="s">
        <v>644</v>
      </c>
      <c r="E30" s="27" t="s">
        <v>645</v>
      </c>
      <c r="F30" s="27" t="s">
        <v>646</v>
      </c>
      <c r="G30" s="27" t="s">
        <v>69</v>
      </c>
    </row>
    <row r="31" spans="1:7" x14ac:dyDescent="0.65">
      <c r="A31" s="31">
        <v>29</v>
      </c>
      <c r="B31" s="27" t="s">
        <v>647</v>
      </c>
      <c r="C31" s="98" t="str" cm="1">
        <f t="array" ref="C31">INDEX(_xlfn.TEXTSPLIT(Table14[[#This Row],[Display name]], " "), 2)</f>
        <v>Kiattisak</v>
      </c>
      <c r="D31" s="98" t="s">
        <v>579</v>
      </c>
      <c r="E31" s="27" t="s">
        <v>272</v>
      </c>
      <c r="F31" s="27" t="s">
        <v>648</v>
      </c>
      <c r="G31" s="27" t="s">
        <v>274</v>
      </c>
    </row>
    <row r="32" spans="1:7" x14ac:dyDescent="0.65">
      <c r="A32" s="31">
        <v>30</v>
      </c>
      <c r="B32" s="27" t="s">
        <v>649</v>
      </c>
      <c r="C32" s="98" t="str" cm="1">
        <f t="array" ref="C32">INDEX(_xlfn.TEXTSPLIT(Table14[[#This Row],[Display name]], " "), 2)</f>
        <v>Kingfai</v>
      </c>
      <c r="D32" s="98" t="s">
        <v>650</v>
      </c>
      <c r="E32" s="27" t="s">
        <v>651</v>
      </c>
      <c r="F32" s="27" t="s">
        <v>648</v>
      </c>
      <c r="G32" s="27" t="s">
        <v>268</v>
      </c>
    </row>
    <row r="33" spans="1:7" x14ac:dyDescent="0.65">
      <c r="A33" s="31">
        <v>31</v>
      </c>
      <c r="B33" s="27" t="s">
        <v>652</v>
      </c>
      <c r="C33" s="98" t="str" cm="1">
        <f t="array" ref="C33">INDEX(_xlfn.TEXTSPLIT(Table14[[#This Row],[Display name]], " "), 2)</f>
        <v>Kittipong</v>
      </c>
      <c r="D33" s="98" t="s">
        <v>653</v>
      </c>
      <c r="E33" s="27" t="s">
        <v>177</v>
      </c>
      <c r="F33" s="27" t="s">
        <v>400</v>
      </c>
      <c r="G33" s="27" t="s">
        <v>179</v>
      </c>
    </row>
    <row r="34" spans="1:7" x14ac:dyDescent="0.65">
      <c r="A34" s="31">
        <v>32</v>
      </c>
      <c r="B34" s="27" t="s">
        <v>654</v>
      </c>
      <c r="C34" s="98" t="str" cm="1">
        <f t="array" ref="C34">INDEX(_xlfn.TEXTSPLIT(Table14[[#This Row],[Display name]], " "), 2)</f>
        <v>Korakot</v>
      </c>
      <c r="D34" s="98" t="s">
        <v>655</v>
      </c>
      <c r="E34" s="27" t="s">
        <v>656</v>
      </c>
      <c r="F34" s="27" t="s">
        <v>499</v>
      </c>
      <c r="G34" s="27" t="s">
        <v>219</v>
      </c>
    </row>
    <row r="35" spans="1:7" x14ac:dyDescent="0.65">
      <c r="A35" s="31">
        <v>33</v>
      </c>
      <c r="B35" s="27" t="s">
        <v>657</v>
      </c>
      <c r="C35" s="98" t="str" cm="1">
        <f t="array" ref="C35">INDEX(_xlfn.TEXTSPLIT(Table14[[#This Row],[Display name]], " "), 2)</f>
        <v>Kriangkai</v>
      </c>
      <c r="D35" s="98" t="s">
        <v>658</v>
      </c>
      <c r="E35" s="27" t="s">
        <v>232</v>
      </c>
      <c r="F35" s="27" t="s">
        <v>96</v>
      </c>
      <c r="G35" s="27" t="s">
        <v>234</v>
      </c>
    </row>
    <row r="36" spans="1:7" x14ac:dyDescent="0.65">
      <c r="A36" s="31">
        <v>34</v>
      </c>
      <c r="B36" s="27" t="s">
        <v>659</v>
      </c>
      <c r="C36" s="98" t="str" cm="1">
        <f t="array" ref="C36">INDEX(_xlfn.TEXTSPLIT(Table14[[#This Row],[Display name]], " "), 2)</f>
        <v>Kritsakorn</v>
      </c>
      <c r="D36" s="98" t="s">
        <v>660</v>
      </c>
      <c r="E36" s="27" t="s">
        <v>105</v>
      </c>
      <c r="F36" s="27" t="s">
        <v>584</v>
      </c>
      <c r="G36" s="27" t="s">
        <v>69</v>
      </c>
    </row>
    <row r="37" spans="1:7" x14ac:dyDescent="0.65">
      <c r="A37" s="31">
        <v>35</v>
      </c>
      <c r="B37" s="27" t="s">
        <v>661</v>
      </c>
      <c r="C37" s="98" t="str" cm="1">
        <f t="array" ref="C37">INDEX(_xlfn.TEXTSPLIT(Table14[[#This Row],[Display name]], " "), 2)</f>
        <v>Krittapot</v>
      </c>
      <c r="D37" s="98" t="s">
        <v>662</v>
      </c>
      <c r="E37" s="27" t="s">
        <v>663</v>
      </c>
      <c r="F37" s="27" t="s">
        <v>664</v>
      </c>
      <c r="G37" s="27" t="s">
        <v>69</v>
      </c>
    </row>
    <row r="38" spans="1:7" x14ac:dyDescent="0.65">
      <c r="A38" s="31">
        <v>36</v>
      </c>
      <c r="B38" s="27" t="s">
        <v>665</v>
      </c>
      <c r="C38" s="98" t="str" cm="1">
        <f t="array" ref="C38">INDEX(_xlfn.TEXTSPLIT(Table14[[#This Row],[Display name]], " "), 2)</f>
        <v>Kulthirath</v>
      </c>
      <c r="D38" s="98" t="s">
        <v>666</v>
      </c>
      <c r="E38" s="27" t="s">
        <v>667</v>
      </c>
      <c r="F38" s="27" t="s">
        <v>668</v>
      </c>
      <c r="G38" s="27" t="s">
        <v>69</v>
      </c>
    </row>
    <row r="39" spans="1:7" x14ac:dyDescent="0.65">
      <c r="A39" s="31">
        <v>37</v>
      </c>
      <c r="B39" s="27" t="s">
        <v>669</v>
      </c>
      <c r="C39" s="98" t="str" cm="1">
        <f t="array" ref="C39">INDEX(_xlfn.TEXTSPLIT(Table14[[#This Row],[Display name]], " "), 2)</f>
        <v>Manlika</v>
      </c>
      <c r="D39" s="98" t="s">
        <v>670</v>
      </c>
      <c r="E39" s="102" t="s">
        <v>671</v>
      </c>
      <c r="F39" s="27" t="s">
        <v>581</v>
      </c>
      <c r="G39" s="27" t="s">
        <v>69</v>
      </c>
    </row>
    <row r="40" spans="1:7" x14ac:dyDescent="0.65">
      <c r="A40" s="31">
        <v>38</v>
      </c>
      <c r="B40" s="27" t="s">
        <v>672</v>
      </c>
      <c r="C40" s="98" t="str" cm="1">
        <f t="array" ref="C40">INDEX(_xlfn.TEXTSPLIT(Table14[[#This Row],[Display name]], " "), 2)</f>
        <v>Marut</v>
      </c>
      <c r="D40" s="98" t="s">
        <v>673</v>
      </c>
      <c r="E40" s="27" t="s">
        <v>674</v>
      </c>
      <c r="F40" s="27" t="s">
        <v>675</v>
      </c>
      <c r="G40" s="27" t="s">
        <v>69</v>
      </c>
    </row>
    <row r="41" spans="1:7" x14ac:dyDescent="0.65">
      <c r="A41" s="31">
        <v>39</v>
      </c>
      <c r="B41" s="27" t="s">
        <v>676</v>
      </c>
      <c r="C41" s="98" t="str" cm="1">
        <f t="array" ref="C41">INDEX(_xlfn.TEXTSPLIT(Table14[[#This Row],[Display name]], " "), 2)</f>
        <v>Mayuree</v>
      </c>
      <c r="D41" s="98" t="s">
        <v>677</v>
      </c>
      <c r="E41" s="27" t="s">
        <v>678</v>
      </c>
      <c r="F41" s="27" t="s">
        <v>636</v>
      </c>
      <c r="G41" s="27" t="s">
        <v>69</v>
      </c>
    </row>
    <row r="42" spans="1:7" x14ac:dyDescent="0.65">
      <c r="A42" s="31">
        <v>40</v>
      </c>
      <c r="B42" s="27" t="s">
        <v>679</v>
      </c>
      <c r="C42" s="98" t="str" cm="1">
        <f t="array" ref="C42">INDEX(_xlfn.TEXTSPLIT(Table14[[#This Row],[Display name]], " "), 2)</f>
        <v>Metawee</v>
      </c>
      <c r="D42" s="98" t="s">
        <v>680</v>
      </c>
      <c r="E42" s="27" t="s">
        <v>681</v>
      </c>
      <c r="F42" s="27" t="s">
        <v>682</v>
      </c>
      <c r="G42" s="27" t="s">
        <v>69</v>
      </c>
    </row>
    <row r="43" spans="1:7" x14ac:dyDescent="0.65">
      <c r="A43" s="31">
        <v>41</v>
      </c>
      <c r="B43" s="27" t="s">
        <v>683</v>
      </c>
      <c r="C43" s="98" t="str" cm="1">
        <f t="array" ref="C43">INDEX(_xlfn.TEXTSPLIT(Table14[[#This Row],[Display name]], " "), 2)</f>
        <v>Nakaret</v>
      </c>
      <c r="D43" s="98" t="s">
        <v>684</v>
      </c>
      <c r="E43" s="27" t="s">
        <v>111</v>
      </c>
      <c r="F43" s="27" t="s">
        <v>595</v>
      </c>
      <c r="G43" s="27" t="s">
        <v>69</v>
      </c>
    </row>
    <row r="44" spans="1:7" x14ac:dyDescent="0.65">
      <c r="A44" s="31">
        <v>42</v>
      </c>
      <c r="B44" s="27" t="s">
        <v>685</v>
      </c>
      <c r="C44" s="98" t="str" cm="1">
        <f t="array" ref="C44">INDEX(_xlfn.TEXTSPLIT(Table14[[#This Row],[Display name]], " "), 2)</f>
        <v>Nanthaphon</v>
      </c>
      <c r="D44" s="98" t="s">
        <v>686</v>
      </c>
      <c r="E44" s="27" t="s">
        <v>687</v>
      </c>
      <c r="F44" s="27" t="s">
        <v>618</v>
      </c>
      <c r="G44" s="27" t="s">
        <v>69</v>
      </c>
    </row>
    <row r="45" spans="1:7" x14ac:dyDescent="0.65">
      <c r="A45" s="31">
        <v>43</v>
      </c>
      <c r="B45" s="27" t="s">
        <v>688</v>
      </c>
      <c r="C45" s="98" t="str" cm="1">
        <f t="array" ref="C45">INDEX(_xlfn.TEXTSPLIT(Table14[[#This Row],[Display name]], " "), 2)</f>
        <v>Nareenuch</v>
      </c>
      <c r="D45" s="98" t="s">
        <v>689</v>
      </c>
      <c r="E45" s="27" t="s">
        <v>690</v>
      </c>
      <c r="F45" s="27" t="s">
        <v>632</v>
      </c>
      <c r="G45" s="27" t="s">
        <v>140</v>
      </c>
    </row>
    <row r="46" spans="1:7" x14ac:dyDescent="0.65">
      <c r="A46" s="31">
        <v>44</v>
      </c>
      <c r="B46" s="27" t="s">
        <v>691</v>
      </c>
      <c r="C46" s="98" t="str" cm="1">
        <f t="array" ref="C46">INDEX(_xlfn.TEXTSPLIT(Table14[[#This Row],[Display name]], " "), 2)</f>
        <v>Narisara</v>
      </c>
      <c r="D46" s="98" t="s">
        <v>692</v>
      </c>
      <c r="E46" s="27" t="s">
        <v>693</v>
      </c>
      <c r="F46" s="27" t="s">
        <v>632</v>
      </c>
      <c r="G46" s="27" t="s">
        <v>694</v>
      </c>
    </row>
    <row r="47" spans="1:7" x14ac:dyDescent="0.65">
      <c r="A47" s="31">
        <v>45</v>
      </c>
      <c r="B47" s="27" t="s">
        <v>695</v>
      </c>
      <c r="C47" s="98" t="str" cm="1">
        <f t="array" ref="C47">INDEX(_xlfn.TEXTSPLIT(Table14[[#This Row],[Display name]], " "), 2)</f>
        <v>Natapong</v>
      </c>
      <c r="D47" s="98" t="s">
        <v>696</v>
      </c>
      <c r="E47" s="27" t="s">
        <v>697</v>
      </c>
      <c r="F47" s="27" t="s">
        <v>400</v>
      </c>
      <c r="G47" s="27" t="s">
        <v>146</v>
      </c>
    </row>
    <row r="48" spans="1:7" x14ac:dyDescent="0.65">
      <c r="A48" s="31">
        <v>46</v>
      </c>
      <c r="B48" s="27" t="s">
        <v>698</v>
      </c>
      <c r="C48" s="98" t="str" cm="1">
        <f t="array" ref="C48">INDEX(_xlfn.TEXTSPLIT(Table14[[#This Row],[Display name]], " "), 2)</f>
        <v>Nattakorn</v>
      </c>
      <c r="D48" s="98" t="s">
        <v>699</v>
      </c>
      <c r="E48" s="27" t="s">
        <v>352</v>
      </c>
      <c r="F48" s="27" t="s">
        <v>700</v>
      </c>
      <c r="G48" s="27" t="s">
        <v>140</v>
      </c>
    </row>
    <row r="49" spans="1:7" x14ac:dyDescent="0.65">
      <c r="A49" s="31">
        <v>47</v>
      </c>
      <c r="B49" s="27" t="s">
        <v>701</v>
      </c>
      <c r="C49" s="98" t="str" cm="1">
        <f t="array" ref="C49">INDEX(_xlfn.TEXTSPLIT(Table14[[#This Row],[Display name]], " "), 2)</f>
        <v>Nattaphon</v>
      </c>
      <c r="D49" s="98" t="s">
        <v>702</v>
      </c>
      <c r="E49" s="27" t="s">
        <v>279</v>
      </c>
      <c r="F49" s="27" t="s">
        <v>496</v>
      </c>
      <c r="G49" s="27" t="s">
        <v>274</v>
      </c>
    </row>
    <row r="50" spans="1:7" x14ac:dyDescent="0.65">
      <c r="A50" s="31">
        <v>48</v>
      </c>
      <c r="B50" s="27" t="s">
        <v>703</v>
      </c>
      <c r="C50" s="98" t="str" cm="1">
        <f t="array" ref="C50">INDEX(_xlfn.TEXTSPLIT(Table14[[#This Row],[Display name]], " "), 2)</f>
        <v>Nattapon</v>
      </c>
      <c r="D50" s="98" t="s">
        <v>704</v>
      </c>
      <c r="E50" s="27" t="s">
        <v>218</v>
      </c>
      <c r="F50" s="27" t="s">
        <v>150</v>
      </c>
      <c r="G50" s="27" t="s">
        <v>219</v>
      </c>
    </row>
    <row r="51" spans="1:7" x14ac:dyDescent="0.65">
      <c r="A51" s="31">
        <v>49</v>
      </c>
      <c r="B51" s="27" t="s">
        <v>705</v>
      </c>
      <c r="C51" s="98" t="str" cm="1">
        <f t="array" ref="C51">INDEX(_xlfn.TEXTSPLIT(Table14[[#This Row],[Display name]], " "), 2)</f>
        <v>Nattapong</v>
      </c>
      <c r="D51" s="98" t="s">
        <v>706</v>
      </c>
      <c r="E51" s="27" t="s">
        <v>707</v>
      </c>
      <c r="F51" s="27" t="s">
        <v>708</v>
      </c>
      <c r="G51" s="27" t="s">
        <v>69</v>
      </c>
    </row>
    <row r="52" spans="1:7" x14ac:dyDescent="0.65">
      <c r="A52" s="31">
        <v>50</v>
      </c>
      <c r="B52" s="27" t="s">
        <v>709</v>
      </c>
      <c r="C52" s="98" t="str" cm="1">
        <f t="array" ref="C52">INDEX(_xlfn.TEXTSPLIT(Table14[[#This Row],[Display name]], " "), 2)</f>
        <v>Nattapong</v>
      </c>
      <c r="D52" s="98" t="s">
        <v>710</v>
      </c>
      <c r="E52" s="27" t="s">
        <v>347</v>
      </c>
      <c r="F52" s="27" t="s">
        <v>400</v>
      </c>
      <c r="G52" s="27" t="s">
        <v>173</v>
      </c>
    </row>
    <row r="53" spans="1:7" x14ac:dyDescent="0.65">
      <c r="A53" s="31">
        <v>51</v>
      </c>
      <c r="B53" s="27" t="s">
        <v>711</v>
      </c>
      <c r="C53" s="98" t="str" cm="1">
        <f t="array" ref="C53">INDEX(_xlfn.TEXTSPLIT(Table14[[#This Row],[Display name]], " "), 2)</f>
        <v>Nattayaporn</v>
      </c>
      <c r="D53" s="98" t="s">
        <v>712</v>
      </c>
      <c r="E53" s="27" t="s">
        <v>713</v>
      </c>
      <c r="F53" s="27" t="s">
        <v>714</v>
      </c>
      <c r="G53" s="27" t="s">
        <v>69</v>
      </c>
    </row>
    <row r="54" spans="1:7" x14ac:dyDescent="0.65">
      <c r="A54" s="31">
        <v>52</v>
      </c>
      <c r="B54" s="27" t="s">
        <v>715</v>
      </c>
      <c r="C54" s="98" t="str" cm="1">
        <f t="array" ref="C54">INDEX(_xlfn.TEXTSPLIT(Table14[[#This Row],[Display name]], " "), 2)</f>
        <v>Natthaphong</v>
      </c>
      <c r="D54" s="98" t="s">
        <v>716</v>
      </c>
      <c r="E54" s="27" t="s">
        <v>283</v>
      </c>
      <c r="F54" s="27" t="s">
        <v>496</v>
      </c>
      <c r="G54" s="27" t="s">
        <v>205</v>
      </c>
    </row>
    <row r="55" spans="1:7" x14ac:dyDescent="0.65">
      <c r="A55" s="31">
        <v>53</v>
      </c>
      <c r="B55" s="27" t="s">
        <v>717</v>
      </c>
      <c r="C55" s="98" t="str" cm="1">
        <f t="array" ref="C55">INDEX(_xlfn.TEXTSPLIT(Table14[[#This Row],[Display name]], " "), 2)</f>
        <v>Nichanan</v>
      </c>
      <c r="D55" s="98" t="s">
        <v>718</v>
      </c>
      <c r="E55" s="27" t="s">
        <v>719</v>
      </c>
      <c r="F55" s="27" t="s">
        <v>720</v>
      </c>
      <c r="G55" s="27" t="s">
        <v>258</v>
      </c>
    </row>
    <row r="56" spans="1:7" x14ac:dyDescent="0.65">
      <c r="A56" s="31">
        <v>54</v>
      </c>
      <c r="B56" s="27" t="s">
        <v>84</v>
      </c>
      <c r="C56" s="98"/>
      <c r="D56" s="98"/>
      <c r="E56" s="27"/>
      <c r="F56" s="27"/>
      <c r="G56" s="27"/>
    </row>
    <row r="57" spans="1:7" x14ac:dyDescent="0.65">
      <c r="A57" s="31">
        <v>55</v>
      </c>
      <c r="B57" s="27" t="s">
        <v>721</v>
      </c>
      <c r="C57" s="98" t="str" cm="1">
        <f t="array" ref="C57">INDEX(_xlfn.TEXTSPLIT(Table14[[#This Row],[Display name]], " "), 2)</f>
        <v>Onuma</v>
      </c>
      <c r="D57" s="98" t="s">
        <v>722</v>
      </c>
      <c r="E57" s="27" t="s">
        <v>723</v>
      </c>
      <c r="F57" s="27" t="s">
        <v>632</v>
      </c>
      <c r="G57" s="27" t="s">
        <v>258</v>
      </c>
    </row>
    <row r="58" spans="1:7" x14ac:dyDescent="0.65">
      <c r="A58" s="31">
        <v>56</v>
      </c>
      <c r="B58" s="27" t="s">
        <v>724</v>
      </c>
      <c r="C58" s="98" t="str" cm="1">
        <f t="array" ref="C58">INDEX(_xlfn.TEXTSPLIT(Table14[[#This Row],[Display name]], " "), 2)</f>
        <v>Pairin</v>
      </c>
      <c r="D58" s="98" t="s">
        <v>725</v>
      </c>
      <c r="E58" s="27" t="s">
        <v>726</v>
      </c>
      <c r="F58" s="27" t="s">
        <v>727</v>
      </c>
      <c r="G58" s="27" t="s">
        <v>69</v>
      </c>
    </row>
    <row r="59" spans="1:7" x14ac:dyDescent="0.65">
      <c r="A59" s="31">
        <v>57</v>
      </c>
      <c r="B59" s="27" t="s">
        <v>728</v>
      </c>
      <c r="C59" s="98" t="str" cm="1">
        <f t="array" ref="C59">INDEX(_xlfn.TEXTSPLIT(Table14[[#This Row],[Display name]], " "), 2)</f>
        <v>Pakkaporn</v>
      </c>
      <c r="D59" s="98" t="s">
        <v>729</v>
      </c>
      <c r="E59" s="27" t="s">
        <v>730</v>
      </c>
      <c r="F59" s="27" t="s">
        <v>731</v>
      </c>
      <c r="G59" s="27" t="s">
        <v>69</v>
      </c>
    </row>
    <row r="60" spans="1:7" x14ac:dyDescent="0.65">
      <c r="A60" s="31">
        <v>58</v>
      </c>
      <c r="B60" s="27" t="s">
        <v>732</v>
      </c>
      <c r="C60" s="98" t="str" cm="1">
        <f t="array" ref="C60">INDEX(_xlfn.TEXTSPLIT(Table14[[#This Row],[Display name]], " "), 2)</f>
        <v>Pakorn</v>
      </c>
      <c r="D60" s="98" t="s">
        <v>733</v>
      </c>
      <c r="E60" s="27" t="s">
        <v>734</v>
      </c>
      <c r="F60" s="27" t="s">
        <v>595</v>
      </c>
      <c r="G60" s="27" t="s">
        <v>69</v>
      </c>
    </row>
    <row r="61" spans="1:7" x14ac:dyDescent="0.65">
      <c r="A61" s="31">
        <v>59</v>
      </c>
      <c r="B61" s="27" t="s">
        <v>735</v>
      </c>
      <c r="C61" s="98" t="str" cm="1">
        <f t="array" ref="C61">INDEX(_xlfn.TEXTSPLIT(Table14[[#This Row],[Display name]], " "), 2)</f>
        <v>Pankeaw</v>
      </c>
      <c r="D61" s="98" t="s">
        <v>736</v>
      </c>
      <c r="E61" s="27" t="s">
        <v>737</v>
      </c>
      <c r="F61" s="27" t="s">
        <v>618</v>
      </c>
      <c r="G61" s="27" t="s">
        <v>69</v>
      </c>
    </row>
    <row r="62" spans="1:7" x14ac:dyDescent="0.65">
      <c r="A62" s="31">
        <v>60</v>
      </c>
      <c r="B62" s="27" t="s">
        <v>738</v>
      </c>
      <c r="C62" s="98" t="str" cm="1">
        <f t="array" ref="C62">INDEX(_xlfn.TEXTSPLIT(Table14[[#This Row],[Display name]], " "), 2)</f>
        <v>Parata</v>
      </c>
      <c r="D62" s="98" t="s">
        <v>670</v>
      </c>
      <c r="E62" s="27" t="s">
        <v>473</v>
      </c>
      <c r="F62" s="27" t="s">
        <v>400</v>
      </c>
      <c r="G62" s="27" t="s">
        <v>268</v>
      </c>
    </row>
    <row r="63" spans="1:7" x14ac:dyDescent="0.65">
      <c r="A63" s="31">
        <v>61</v>
      </c>
      <c r="B63" s="27" t="s">
        <v>739</v>
      </c>
      <c r="C63" s="98" t="str" cm="1">
        <f t="array" ref="C63">INDEX(_xlfn.TEXTSPLIT(Table14[[#This Row],[Display name]], " "), 2)</f>
        <v>Parichat</v>
      </c>
      <c r="D63" s="98" t="s">
        <v>740</v>
      </c>
      <c r="E63" s="27" t="s">
        <v>375</v>
      </c>
      <c r="F63" s="27" t="s">
        <v>96</v>
      </c>
      <c r="G63" s="27" t="s">
        <v>258</v>
      </c>
    </row>
    <row r="64" spans="1:7" x14ac:dyDescent="0.65">
      <c r="A64" s="31">
        <v>62</v>
      </c>
      <c r="B64" s="27" t="s">
        <v>741</v>
      </c>
      <c r="C64" s="98" t="str" cm="1">
        <f t="array" ref="C64">INDEX(_xlfn.TEXTSPLIT(Table14[[#This Row],[Display name]], " "), 2)</f>
        <v>Parinya</v>
      </c>
      <c r="D64" s="98" t="s">
        <v>742</v>
      </c>
      <c r="E64" s="27" t="s">
        <v>743</v>
      </c>
      <c r="F64" s="27" t="s">
        <v>584</v>
      </c>
      <c r="G64" s="27" t="s">
        <v>274</v>
      </c>
    </row>
    <row r="65" spans="1:7" x14ac:dyDescent="0.65">
      <c r="A65" s="31">
        <v>63</v>
      </c>
      <c r="B65" s="27" t="s">
        <v>744</v>
      </c>
      <c r="C65" s="98" t="str" cm="1">
        <f t="array" ref="C65">INDEX(_xlfn.TEXTSPLIT(Table14[[#This Row],[Display name]], " "), 2)</f>
        <v>Parit</v>
      </c>
      <c r="D65" s="98" t="s">
        <v>745</v>
      </c>
      <c r="E65" s="27" t="s">
        <v>746</v>
      </c>
      <c r="F65" s="27" t="s">
        <v>622</v>
      </c>
      <c r="G65" s="27" t="s">
        <v>69</v>
      </c>
    </row>
    <row r="66" spans="1:7" x14ac:dyDescent="0.65">
      <c r="A66" s="31">
        <v>64</v>
      </c>
      <c r="B66" s="27" t="s">
        <v>747</v>
      </c>
      <c r="C66" s="98" t="str" cm="1">
        <f t="array" ref="C66">INDEX(_xlfn.TEXTSPLIT(Table14[[#This Row],[Display name]], " "), 2)</f>
        <v>Passagorn</v>
      </c>
      <c r="D66" s="98" t="s">
        <v>748</v>
      </c>
      <c r="E66" s="27" t="s">
        <v>749</v>
      </c>
      <c r="F66" s="27" t="s">
        <v>720</v>
      </c>
      <c r="G66" s="27" t="s">
        <v>179</v>
      </c>
    </row>
    <row r="67" spans="1:7" x14ac:dyDescent="0.65">
      <c r="A67" s="31">
        <v>65</v>
      </c>
      <c r="B67" s="27" t="s">
        <v>750</v>
      </c>
      <c r="C67" s="98" t="str" cm="1">
        <f t="array" ref="C67">INDEX(_xlfn.TEXTSPLIT(Table14[[#This Row],[Display name]], " "), 2)</f>
        <v>Pattama</v>
      </c>
      <c r="D67" s="98" t="s">
        <v>751</v>
      </c>
      <c r="E67" s="27" t="s">
        <v>752</v>
      </c>
      <c r="F67" s="27" t="s">
        <v>588</v>
      </c>
      <c r="G67" s="27" t="s">
        <v>258</v>
      </c>
    </row>
    <row r="68" spans="1:7" x14ac:dyDescent="0.65">
      <c r="A68" s="31">
        <v>66</v>
      </c>
      <c r="B68" s="98" t="s">
        <v>753</v>
      </c>
      <c r="C68" s="98" t="str" cm="1">
        <f t="array" ref="C68">INDEX(_xlfn.TEXTSPLIT(Table14[[#This Row],[Display name]], " "), 2)</f>
        <v>Peerawut</v>
      </c>
      <c r="D68" s="98" t="s">
        <v>754</v>
      </c>
      <c r="E68" s="27" t="s">
        <v>238</v>
      </c>
      <c r="F68" s="27" t="s">
        <v>400</v>
      </c>
      <c r="G68" s="27" t="s">
        <v>234</v>
      </c>
    </row>
    <row r="69" spans="1:7" x14ac:dyDescent="0.65">
      <c r="A69" s="31">
        <v>67</v>
      </c>
      <c r="B69" s="27" t="s">
        <v>755</v>
      </c>
      <c r="C69" s="98" t="str" cm="1">
        <f t="array" ref="C69">INDEX(_xlfn.TEXTSPLIT(Table14[[#This Row],[Display name]], " "), 2)</f>
        <v>Penthavee</v>
      </c>
      <c r="D69" s="98" t="s">
        <v>756</v>
      </c>
      <c r="E69" s="27" t="s">
        <v>757</v>
      </c>
      <c r="F69" s="27" t="s">
        <v>632</v>
      </c>
      <c r="G69" s="27" t="s">
        <v>592</v>
      </c>
    </row>
    <row r="70" spans="1:7" x14ac:dyDescent="0.65">
      <c r="A70" s="31">
        <v>68</v>
      </c>
      <c r="B70" s="27" t="s">
        <v>758</v>
      </c>
      <c r="C70" s="98" t="str" cm="1">
        <f t="array" ref="C70">INDEX(_xlfn.TEXTSPLIT(Table14[[#This Row],[Display name]], " "), 2)</f>
        <v>Phatthanan</v>
      </c>
      <c r="D70" s="98" t="s">
        <v>759</v>
      </c>
      <c r="E70" s="27" t="s">
        <v>242</v>
      </c>
      <c r="F70" s="27" t="s">
        <v>150</v>
      </c>
      <c r="G70" s="27" t="s">
        <v>234</v>
      </c>
    </row>
    <row r="71" spans="1:7" x14ac:dyDescent="0.65">
      <c r="A71" s="31">
        <v>69</v>
      </c>
      <c r="B71" s="27" t="s">
        <v>760</v>
      </c>
      <c r="C71" s="98" t="str" cm="1">
        <f t="array" ref="C71">INDEX(_xlfn.TEXTSPLIT(Table14[[#This Row],[Display name]], " "), 2)</f>
        <v>Pittaya</v>
      </c>
      <c r="D71" s="98" t="s">
        <v>761</v>
      </c>
      <c r="E71" s="27" t="s">
        <v>762</v>
      </c>
      <c r="F71" s="27" t="s">
        <v>763</v>
      </c>
      <c r="G71" s="27" t="s">
        <v>69</v>
      </c>
    </row>
    <row r="72" spans="1:7" x14ac:dyDescent="0.65">
      <c r="A72" s="31">
        <v>70</v>
      </c>
      <c r="B72" s="27" t="s">
        <v>764</v>
      </c>
      <c r="C72" s="98" t="str" cm="1">
        <f t="array" ref="C72">INDEX(_xlfn.TEXTSPLIT(Table14[[#This Row],[Display name]], " "), 2)</f>
        <v>Piyakorn</v>
      </c>
      <c r="D72" s="98" t="s">
        <v>765</v>
      </c>
      <c r="E72" s="27" t="s">
        <v>766</v>
      </c>
      <c r="F72" s="27" t="s">
        <v>767</v>
      </c>
      <c r="G72" s="27" t="s">
        <v>179</v>
      </c>
    </row>
    <row r="73" spans="1:7" x14ac:dyDescent="0.65">
      <c r="A73" s="31">
        <v>71</v>
      </c>
      <c r="B73" s="27" t="s">
        <v>768</v>
      </c>
      <c r="C73" s="98" t="str" cm="1">
        <f t="array" ref="C73">INDEX(_xlfn.TEXTSPLIT(Table14[[#This Row],[Display name]], " "), 2)</f>
        <v>Piyapong</v>
      </c>
      <c r="D73" s="98" t="s">
        <v>769</v>
      </c>
      <c r="E73" s="27" t="s">
        <v>770</v>
      </c>
      <c r="F73" s="27" t="s">
        <v>700</v>
      </c>
      <c r="G73" s="27" t="s">
        <v>771</v>
      </c>
    </row>
    <row r="74" spans="1:7" x14ac:dyDescent="0.65">
      <c r="A74" s="31">
        <v>72</v>
      </c>
      <c r="B74" s="27" t="s">
        <v>772</v>
      </c>
      <c r="C74" s="98" t="str" cm="1">
        <f t="array" ref="C74">INDEX(_xlfn.TEXTSPLIT(Table14[[#This Row],[Display name]], " "), 2)</f>
        <v>Poonkeat</v>
      </c>
      <c r="D74" s="98" t="s">
        <v>773</v>
      </c>
      <c r="E74" s="27" t="s">
        <v>322</v>
      </c>
      <c r="F74" s="27" t="s">
        <v>774</v>
      </c>
      <c r="G74" s="27" t="s">
        <v>69</v>
      </c>
    </row>
    <row r="75" spans="1:7" x14ac:dyDescent="0.65">
      <c r="A75" s="31">
        <v>73</v>
      </c>
      <c r="B75" s="27" t="s">
        <v>775</v>
      </c>
      <c r="C75" s="98" t="str" cm="1">
        <f t="array" ref="C75">INDEX(_xlfn.TEXTSPLIT(Table14[[#This Row],[Display name]], " "), 2)</f>
        <v>Pornpimon</v>
      </c>
      <c r="D75" s="98" t="s">
        <v>776</v>
      </c>
      <c r="E75" s="27" t="s">
        <v>777</v>
      </c>
      <c r="F75" s="27" t="s">
        <v>778</v>
      </c>
      <c r="G75" s="27" t="s">
        <v>274</v>
      </c>
    </row>
    <row r="76" spans="1:7" x14ac:dyDescent="0.65">
      <c r="A76" s="31">
        <v>74</v>
      </c>
      <c r="B76" s="27" t="s">
        <v>779</v>
      </c>
      <c r="C76" s="98" t="str" cm="1">
        <f t="array" ref="C76">INDEX(_xlfn.TEXTSPLIT(Table14[[#This Row],[Display name]], " "), 2)</f>
        <v>Pracha</v>
      </c>
      <c r="D76" s="98" t="s">
        <v>780</v>
      </c>
      <c r="E76" s="27" t="s">
        <v>223</v>
      </c>
      <c r="F76" s="27" t="s">
        <v>400</v>
      </c>
      <c r="G76" s="27" t="s">
        <v>219</v>
      </c>
    </row>
    <row r="77" spans="1:7" x14ac:dyDescent="0.65">
      <c r="A77" s="31">
        <v>75</v>
      </c>
      <c r="B77" s="27" t="s">
        <v>781</v>
      </c>
      <c r="C77" s="98" t="str" cm="1">
        <f t="array" ref="C77">INDEX(_xlfn.TEXTSPLIT(Table14[[#This Row],[Display name]], " "), 2)</f>
        <v>Prapaporn</v>
      </c>
      <c r="D77" s="98" t="s">
        <v>782</v>
      </c>
      <c r="E77" s="27" t="s">
        <v>783</v>
      </c>
      <c r="F77" s="27" t="s">
        <v>632</v>
      </c>
      <c r="G77" s="27" t="s">
        <v>268</v>
      </c>
    </row>
    <row r="78" spans="1:7" x14ac:dyDescent="0.65">
      <c r="A78" s="31">
        <v>76</v>
      </c>
      <c r="B78" s="27" t="s">
        <v>784</v>
      </c>
      <c r="C78" s="98" t="str" cm="1">
        <f t="array" ref="C78">INDEX(_xlfn.TEXTSPLIT(Table14[[#This Row],[Display name]], " "), 2)</f>
        <v>Punyawee</v>
      </c>
      <c r="D78" s="98" t="s">
        <v>785</v>
      </c>
      <c r="E78" s="27" t="s">
        <v>356</v>
      </c>
      <c r="F78" s="27" t="s">
        <v>429</v>
      </c>
      <c r="G78" s="27" t="s">
        <v>219</v>
      </c>
    </row>
    <row r="79" spans="1:7" x14ac:dyDescent="0.65">
      <c r="A79" s="31">
        <v>77</v>
      </c>
      <c r="B79" s="27" t="s">
        <v>786</v>
      </c>
      <c r="C79" s="98" t="str" cm="1">
        <f t="array" ref="C79">INDEX(_xlfn.TEXTSPLIT(Table14[[#This Row],[Display name]], " "), 2)</f>
        <v>Ramanee</v>
      </c>
      <c r="D79" s="98" t="s">
        <v>540</v>
      </c>
      <c r="E79" s="27" t="s">
        <v>83</v>
      </c>
      <c r="F79" s="27" t="s">
        <v>82</v>
      </c>
      <c r="G79" s="27" t="s">
        <v>69</v>
      </c>
    </row>
    <row r="80" spans="1:7" x14ac:dyDescent="0.65">
      <c r="A80" s="31">
        <v>78</v>
      </c>
      <c r="B80" s="27" t="s">
        <v>787</v>
      </c>
      <c r="C80" s="98" t="str" cm="1">
        <f t="array" ref="C80">INDEX(_xlfn.TEXTSPLIT(Table14[[#This Row],[Display name]], " "), 2)</f>
        <v>Rath</v>
      </c>
      <c r="D80" s="98" t="s">
        <v>788</v>
      </c>
      <c r="E80" s="27" t="s">
        <v>789</v>
      </c>
      <c r="F80" s="27" t="s">
        <v>584</v>
      </c>
      <c r="G80" s="27" t="s">
        <v>69</v>
      </c>
    </row>
    <row r="81" spans="1:7" x14ac:dyDescent="0.65">
      <c r="A81" s="31">
        <v>79</v>
      </c>
      <c r="B81" s="27" t="s">
        <v>790</v>
      </c>
      <c r="C81" s="98" t="str" cm="1">
        <f t="array" ref="C81">INDEX(_xlfn.TEXTSPLIT(Table14[[#This Row],[Display name]], " "), 2)</f>
        <v>Samart</v>
      </c>
      <c r="D81" s="98" t="s">
        <v>791</v>
      </c>
      <c r="E81" s="27" t="s">
        <v>482</v>
      </c>
      <c r="F81" s="27" t="s">
        <v>481</v>
      </c>
      <c r="G81" s="27" t="s">
        <v>69</v>
      </c>
    </row>
    <row r="82" spans="1:7" x14ac:dyDescent="0.65">
      <c r="A82" s="31">
        <v>80</v>
      </c>
      <c r="B82" s="27" t="s">
        <v>792</v>
      </c>
      <c r="C82" s="98" t="str" cm="1">
        <f t="array" ref="C82">INDEX(_xlfn.TEXTSPLIT(Table14[[#This Row],[Display name]], " "), 2)</f>
        <v>Sansren</v>
      </c>
      <c r="D82" s="98" t="s">
        <v>793</v>
      </c>
      <c r="E82" s="27" t="s">
        <v>228</v>
      </c>
      <c r="F82" s="27" t="s">
        <v>400</v>
      </c>
      <c r="G82" s="27" t="s">
        <v>219</v>
      </c>
    </row>
    <row r="83" spans="1:7" x14ac:dyDescent="0.65">
      <c r="A83" s="31">
        <v>81</v>
      </c>
      <c r="B83" s="27" t="s">
        <v>794</v>
      </c>
      <c r="C83" s="98" t="str" cm="1">
        <f t="array" ref="C83">INDEX(_xlfn.TEXTSPLIT(Table14[[#This Row],[Display name]], " "), 2)</f>
        <v>Saranya</v>
      </c>
      <c r="D83" s="98" t="s">
        <v>795</v>
      </c>
      <c r="E83" s="27" t="s">
        <v>796</v>
      </c>
      <c r="F83" s="27" t="s">
        <v>778</v>
      </c>
      <c r="G83" s="27" t="s">
        <v>592</v>
      </c>
    </row>
    <row r="84" spans="1:7" x14ac:dyDescent="0.65">
      <c r="A84" s="31">
        <v>82</v>
      </c>
      <c r="B84" s="44" t="s">
        <v>797</v>
      </c>
      <c r="C84" s="98" t="str" cm="1">
        <f t="array" ref="C84">INDEX(_xlfn.TEXTSPLIT(Table14[[#This Row],[Display name]], " "), 2)</f>
        <v>Sarawut</v>
      </c>
      <c r="D84" s="98" t="s">
        <v>798</v>
      </c>
      <c r="E84" s="27" t="s">
        <v>799</v>
      </c>
      <c r="F84" s="27" t="s">
        <v>393</v>
      </c>
      <c r="G84" s="27" t="s">
        <v>69</v>
      </c>
    </row>
    <row r="85" spans="1:7" x14ac:dyDescent="0.65">
      <c r="A85" s="31">
        <v>83</v>
      </c>
      <c r="B85" s="27" t="s">
        <v>800</v>
      </c>
      <c r="C85" s="98" t="str" cm="1">
        <f t="array" ref="C85">INDEX(_xlfn.TEXTSPLIT(Table14[[#This Row],[Display name]], " "), 2)</f>
        <v>Sayamon</v>
      </c>
      <c r="D85" s="98" t="s">
        <v>801</v>
      </c>
      <c r="E85" s="27" t="s">
        <v>802</v>
      </c>
      <c r="F85" s="27" t="s">
        <v>632</v>
      </c>
      <c r="G85" s="27" t="s">
        <v>146</v>
      </c>
    </row>
    <row r="86" spans="1:7" x14ac:dyDescent="0.65">
      <c r="A86" s="31">
        <v>84</v>
      </c>
      <c r="B86" s="27" t="s">
        <v>803</v>
      </c>
      <c r="C86" s="98" t="str" cm="1">
        <f t="array" ref="C86">INDEX(_xlfn.TEXTSPLIT(Table14[[#This Row],[Display name]], " "), 2)</f>
        <v>Sirinapa</v>
      </c>
      <c r="D86" s="98" t="s">
        <v>804</v>
      </c>
      <c r="E86" s="27" t="s">
        <v>805</v>
      </c>
      <c r="F86" s="27" t="s">
        <v>588</v>
      </c>
      <c r="G86" s="27" t="s">
        <v>234</v>
      </c>
    </row>
    <row r="87" spans="1:7" x14ac:dyDescent="0.65">
      <c r="A87" s="31">
        <v>85</v>
      </c>
      <c r="B87" s="27" t="s">
        <v>806</v>
      </c>
      <c r="C87" s="98" t="str" cm="1">
        <f t="array" ref="C87">INDEX(_xlfn.TEXTSPLIT(Table14[[#This Row],[Display name]], " "), 2)</f>
        <v>Sirinat</v>
      </c>
      <c r="D87" s="98" t="s">
        <v>807</v>
      </c>
      <c r="E87" s="27" t="s">
        <v>808</v>
      </c>
      <c r="F87" s="27" t="s">
        <v>632</v>
      </c>
      <c r="G87" s="27" t="s">
        <v>274</v>
      </c>
    </row>
    <row r="88" spans="1:7" x14ac:dyDescent="0.65">
      <c r="A88" s="31">
        <v>86</v>
      </c>
      <c r="B88" s="27" t="s">
        <v>809</v>
      </c>
      <c r="C88" s="98" t="str" cm="1">
        <f t="array" ref="C88">INDEX(_xlfn.TEXTSPLIT(Table14[[#This Row],[Display name]], " "), 2)</f>
        <v>Suchart</v>
      </c>
      <c r="D88" s="98" t="s">
        <v>729</v>
      </c>
      <c r="E88" s="27" t="s">
        <v>297</v>
      </c>
      <c r="F88" s="27" t="s">
        <v>296</v>
      </c>
      <c r="G88" s="27" t="s">
        <v>69</v>
      </c>
    </row>
    <row r="89" spans="1:7" x14ac:dyDescent="0.65">
      <c r="A89" s="31">
        <v>87</v>
      </c>
      <c r="B89" s="27" t="s">
        <v>810</v>
      </c>
      <c r="C89" s="98" t="str" cm="1">
        <f t="array" ref="C89">INDEX(_xlfn.TEXTSPLIT(Table14[[#This Row],[Display name]], " "), 2)</f>
        <v>Suparchai</v>
      </c>
      <c r="D89" s="98" t="s">
        <v>811</v>
      </c>
      <c r="E89" s="27" t="s">
        <v>414</v>
      </c>
      <c r="F89" s="27" t="s">
        <v>413</v>
      </c>
      <c r="G89" s="27" t="s">
        <v>69</v>
      </c>
    </row>
    <row r="90" spans="1:7" x14ac:dyDescent="0.65">
      <c r="A90" s="31">
        <v>88</v>
      </c>
      <c r="B90" s="27" t="s">
        <v>812</v>
      </c>
      <c r="C90" s="98" t="str" cm="1">
        <f t="array" ref="C90">INDEX(_xlfn.TEXTSPLIT(Table14[[#This Row],[Display name]], " "), 2)</f>
        <v>Supatchanikorn</v>
      </c>
      <c r="D90" s="98" t="s">
        <v>813</v>
      </c>
      <c r="E90" s="27" t="s">
        <v>814</v>
      </c>
      <c r="F90" s="27" t="s">
        <v>561</v>
      </c>
      <c r="G90" s="27" t="s">
        <v>815</v>
      </c>
    </row>
    <row r="91" spans="1:7" x14ac:dyDescent="0.65">
      <c r="A91" s="31">
        <v>89</v>
      </c>
      <c r="B91" s="27" t="s">
        <v>816</v>
      </c>
      <c r="C91" s="98" t="str" cm="1">
        <f t="array" ref="C91">INDEX(_xlfn.TEXTSPLIT(Table14[[#This Row],[Display name]], " "), 2)</f>
        <v>Sutiwat</v>
      </c>
      <c r="D91" s="98" t="s">
        <v>817</v>
      </c>
      <c r="E91" s="27" t="s">
        <v>818</v>
      </c>
      <c r="F91" s="27" t="s">
        <v>819</v>
      </c>
      <c r="G91" s="27" t="s">
        <v>234</v>
      </c>
    </row>
    <row r="92" spans="1:7" x14ac:dyDescent="0.65">
      <c r="A92" s="31">
        <v>90</v>
      </c>
      <c r="B92" s="27" t="s">
        <v>820</v>
      </c>
      <c r="C92" s="98" t="str" cm="1">
        <f t="array" ref="C92">INDEX(_xlfn.TEXTSPLIT(Table14[[#This Row],[Display name]], " "), 2)</f>
        <v>Sutthanom</v>
      </c>
      <c r="D92" s="98" t="s">
        <v>602</v>
      </c>
      <c r="E92" s="27" t="s">
        <v>821</v>
      </c>
      <c r="F92" s="27" t="s">
        <v>577</v>
      </c>
      <c r="G92" s="27" t="s">
        <v>69</v>
      </c>
    </row>
    <row r="93" spans="1:7" x14ac:dyDescent="0.65">
      <c r="A93" s="31">
        <v>91</v>
      </c>
      <c r="B93" s="27" t="s">
        <v>822</v>
      </c>
      <c r="C93" s="98" t="str" cm="1">
        <f t="array" ref="C93">INDEX(_xlfn.TEXTSPLIT(Table14[[#This Row],[Display name]], " "), 2)</f>
        <v>Sutthipong</v>
      </c>
      <c r="D93" s="98" t="s">
        <v>823</v>
      </c>
      <c r="E93" s="27" t="s">
        <v>123</v>
      </c>
      <c r="F93" s="27" t="s">
        <v>595</v>
      </c>
      <c r="G93" s="27" t="s">
        <v>69</v>
      </c>
    </row>
    <row r="94" spans="1:7" x14ac:dyDescent="0.65">
      <c r="A94" s="31">
        <v>92</v>
      </c>
      <c r="B94" s="27" t="s">
        <v>824</v>
      </c>
      <c r="C94" s="98" t="str" cm="1">
        <f t="array" ref="C94">INDEX(_xlfn.TEXTSPLIT(Table14[[#This Row],[Display name]], " "), 2)</f>
        <v>Suwimon</v>
      </c>
      <c r="D94" s="98" t="s">
        <v>825</v>
      </c>
      <c r="E94" s="27" t="s">
        <v>826</v>
      </c>
      <c r="F94" s="27" t="s">
        <v>588</v>
      </c>
      <c r="G94" s="27" t="s">
        <v>827</v>
      </c>
    </row>
    <row r="95" spans="1:7" x14ac:dyDescent="0.65">
      <c r="A95" s="31">
        <v>93</v>
      </c>
      <c r="B95" s="27" t="s">
        <v>828</v>
      </c>
      <c r="C95" s="98" t="str" cm="1">
        <f t="array" ref="C95">INDEX(_xlfn.TEXTSPLIT(Table14[[#This Row],[Display name]], " "), 2)</f>
        <v>Tachit</v>
      </c>
      <c r="D95" s="98" t="s">
        <v>829</v>
      </c>
      <c r="E95" s="27" t="s">
        <v>830</v>
      </c>
      <c r="F95" s="27" t="s">
        <v>400</v>
      </c>
      <c r="G95" s="27" t="s">
        <v>284</v>
      </c>
    </row>
    <row r="96" spans="1:7" x14ac:dyDescent="0.65">
      <c r="A96" s="31">
        <v>94</v>
      </c>
      <c r="B96" s="27" t="s">
        <v>831</v>
      </c>
      <c r="C96" s="98" t="str" cm="1">
        <f t="array" ref="C96">INDEX(_xlfn.TEXTSPLIT(Table14[[#This Row],[Display name]], " "), 2)</f>
        <v>Tananon</v>
      </c>
      <c r="D96" s="98" t="s">
        <v>602</v>
      </c>
      <c r="E96" s="27" t="s">
        <v>832</v>
      </c>
      <c r="F96" s="27" t="s">
        <v>833</v>
      </c>
      <c r="G96" s="27" t="s">
        <v>69</v>
      </c>
    </row>
    <row r="97" spans="1:7" x14ac:dyDescent="0.65">
      <c r="A97" s="31">
        <v>95</v>
      </c>
      <c r="B97" s="27" t="s">
        <v>834</v>
      </c>
      <c r="C97" s="98" t="str" cm="1">
        <f t="array" ref="C97">INDEX(_xlfn.TEXTSPLIT(Table14[[#This Row],[Display name]], " "), 2)</f>
        <v>Tarika</v>
      </c>
      <c r="D97" s="98" t="s">
        <v>835</v>
      </c>
      <c r="E97" s="27" t="s">
        <v>836</v>
      </c>
      <c r="F97" s="27" t="s">
        <v>150</v>
      </c>
      <c r="G97" s="27" t="s">
        <v>274</v>
      </c>
    </row>
    <row r="98" spans="1:7" x14ac:dyDescent="0.65">
      <c r="A98" s="31">
        <v>96</v>
      </c>
      <c r="B98" s="27" t="s">
        <v>837</v>
      </c>
      <c r="C98" s="98" t="str" cm="1">
        <f t="array" ref="C98">INDEX(_xlfn.TEXTSPLIT(Table14[[#This Row],[Display name]], " "), 2)</f>
        <v>Tawan</v>
      </c>
      <c r="D98" s="98" t="s">
        <v>838</v>
      </c>
      <c r="E98" s="27" t="s">
        <v>839</v>
      </c>
      <c r="F98" s="27" t="s">
        <v>840</v>
      </c>
      <c r="G98" s="27" t="s">
        <v>69</v>
      </c>
    </row>
    <row r="99" spans="1:7" x14ac:dyDescent="0.65">
      <c r="A99" s="31">
        <v>97</v>
      </c>
      <c r="B99" s="27" t="s">
        <v>841</v>
      </c>
      <c r="C99" s="98" t="str" cm="1">
        <f t="array" ref="C99">INDEX(_xlfn.TEXTSPLIT(Table14[[#This Row],[Display name]], " "), 2)</f>
        <v>Teerapong</v>
      </c>
      <c r="D99" s="98" t="s">
        <v>842</v>
      </c>
      <c r="E99" s="27" t="s">
        <v>385</v>
      </c>
      <c r="F99" s="27" t="s">
        <v>400</v>
      </c>
      <c r="G99" s="27" t="s">
        <v>268</v>
      </c>
    </row>
    <row r="100" spans="1:7" x14ac:dyDescent="0.65">
      <c r="A100" s="31">
        <v>98</v>
      </c>
      <c r="B100" s="27" t="s">
        <v>843</v>
      </c>
      <c r="C100" s="98" t="str" cm="1">
        <f t="array" ref="C100">INDEX(_xlfn.TEXTSPLIT(Table14[[#This Row],[Display name]], " "), 2)</f>
        <v>Teraphich</v>
      </c>
      <c r="D100" s="98" t="s">
        <v>844</v>
      </c>
      <c r="E100" s="27" t="s">
        <v>209</v>
      </c>
      <c r="F100" s="27" t="s">
        <v>429</v>
      </c>
      <c r="G100" s="27" t="s">
        <v>205</v>
      </c>
    </row>
    <row r="101" spans="1:7" x14ac:dyDescent="0.65">
      <c r="A101" s="31">
        <v>99</v>
      </c>
      <c r="B101" s="27" t="s">
        <v>845</v>
      </c>
      <c r="C101" s="98" t="str" cm="1">
        <f t="array" ref="C101">INDEX(_xlfn.TEXTSPLIT(Table14[[#This Row],[Display name]], " "), 2)</f>
        <v>Terdkiet</v>
      </c>
      <c r="D101" s="98" t="s">
        <v>846</v>
      </c>
      <c r="E101" s="27" t="s">
        <v>380</v>
      </c>
      <c r="F101" s="27" t="s">
        <v>400</v>
      </c>
      <c r="G101" s="27" t="s">
        <v>258</v>
      </c>
    </row>
    <row r="102" spans="1:7" x14ac:dyDescent="0.65">
      <c r="A102" s="31">
        <v>100</v>
      </c>
      <c r="B102" s="27" t="s">
        <v>847</v>
      </c>
      <c r="C102" s="98" t="str" cm="1">
        <f t="array" ref="C102">INDEX(_xlfn.TEXTSPLIT(Table14[[#This Row],[Display name]], " "), 2)</f>
        <v>Tewara</v>
      </c>
      <c r="D102" s="98" t="s">
        <v>848</v>
      </c>
      <c r="E102" s="27" t="s">
        <v>849</v>
      </c>
      <c r="F102" s="27" t="s">
        <v>96</v>
      </c>
      <c r="G102" s="27" t="s">
        <v>173</v>
      </c>
    </row>
    <row r="103" spans="1:7" x14ac:dyDescent="0.65">
      <c r="A103" s="31">
        <v>101</v>
      </c>
      <c r="B103" s="27" t="s">
        <v>850</v>
      </c>
      <c r="C103" s="98" t="str" cm="1">
        <f t="array" ref="C103">INDEX(_xlfn.TEXTSPLIT(Table14[[#This Row],[Display name]], " "), 2)</f>
        <v>Thananrath</v>
      </c>
      <c r="D103" s="98" t="s">
        <v>851</v>
      </c>
      <c r="E103" s="27" t="s">
        <v>247</v>
      </c>
      <c r="F103" s="27" t="s">
        <v>429</v>
      </c>
      <c r="G103" s="27" t="s">
        <v>234</v>
      </c>
    </row>
    <row r="104" spans="1:7" x14ac:dyDescent="0.65">
      <c r="A104" s="31">
        <v>102</v>
      </c>
      <c r="B104" s="27" t="s">
        <v>852</v>
      </c>
      <c r="C104" s="98" t="str" cm="1">
        <f t="array" ref="C104">INDEX(_xlfn.TEXTSPLIT(Table14[[#This Row],[Display name]], " "), 2)</f>
        <v>Thanyapong</v>
      </c>
      <c r="D104" s="98" t="s">
        <v>853</v>
      </c>
      <c r="E104" s="27" t="s">
        <v>435</v>
      </c>
      <c r="F104" s="27" t="s">
        <v>434</v>
      </c>
      <c r="G104" s="27" t="s">
        <v>69</v>
      </c>
    </row>
    <row r="105" spans="1:7" x14ac:dyDescent="0.65">
      <c r="A105" s="31">
        <v>103</v>
      </c>
      <c r="B105" s="27" t="s">
        <v>854</v>
      </c>
      <c r="C105" s="98" t="str" cm="1">
        <f t="array" ref="C105">INDEX(_xlfn.TEXTSPLIT(Table14[[#This Row],[Display name]], " "), 2)</f>
        <v>Thummapradit</v>
      </c>
      <c r="D105" s="98" t="s">
        <v>855</v>
      </c>
      <c r="E105" s="27" t="s">
        <v>129</v>
      </c>
      <c r="F105" s="27" t="s">
        <v>441</v>
      </c>
      <c r="G105" s="27" t="s">
        <v>69</v>
      </c>
    </row>
    <row r="106" spans="1:7" x14ac:dyDescent="0.65">
      <c r="A106" s="31">
        <v>104</v>
      </c>
      <c r="B106" s="27" t="s">
        <v>856</v>
      </c>
      <c r="C106" s="98" t="str" cm="1">
        <f t="array" ref="C106">INDEX(_xlfn.TEXTSPLIT(Table14[[#This Row],[Display name]], " "), 2)</f>
        <v>Tuansuhaimin</v>
      </c>
      <c r="D106" s="98" t="s">
        <v>857</v>
      </c>
      <c r="E106" s="27" t="s">
        <v>199</v>
      </c>
      <c r="F106" s="27" t="s">
        <v>150</v>
      </c>
      <c r="G106" s="27" t="s">
        <v>179</v>
      </c>
    </row>
    <row r="107" spans="1:7" x14ac:dyDescent="0.65">
      <c r="A107" s="31">
        <v>105</v>
      </c>
      <c r="B107" s="27" t="s">
        <v>858</v>
      </c>
      <c r="C107" s="98" t="str" cm="1">
        <f t="array" ref="C107">INDEX(_xlfn.TEXTSPLIT(Table14[[#This Row],[Display name]], " "), 2)</f>
        <v>Tun</v>
      </c>
      <c r="D107" s="98" t="s">
        <v>859</v>
      </c>
      <c r="E107" s="102" t="s">
        <v>330</v>
      </c>
      <c r="F107" s="27" t="s">
        <v>595</v>
      </c>
      <c r="G107" s="27" t="s">
        <v>69</v>
      </c>
    </row>
    <row r="108" spans="1:7" x14ac:dyDescent="0.65">
      <c r="A108" s="31">
        <v>106</v>
      </c>
      <c r="B108" s="27" t="s">
        <v>860</v>
      </c>
      <c r="C108" s="98" t="str" cm="1">
        <f t="array" ref="C108">INDEX(_xlfn.TEXTSPLIT(Table14[[#This Row],[Display name]], " "), 2)</f>
        <v>Uthai</v>
      </c>
      <c r="D108" s="98" t="s">
        <v>861</v>
      </c>
      <c r="E108" s="27" t="s">
        <v>165</v>
      </c>
      <c r="F108" s="27" t="s">
        <v>720</v>
      </c>
      <c r="G108" s="27" t="s">
        <v>146</v>
      </c>
    </row>
    <row r="109" spans="1:7" ht="27.75" customHeight="1" x14ac:dyDescent="0.65">
      <c r="A109" s="31">
        <v>107</v>
      </c>
      <c r="B109" s="27" t="s">
        <v>862</v>
      </c>
      <c r="C109" s="98" t="str" cm="1">
        <f t="array" ref="C109">INDEX(_xlfn.TEXTSPLIT(Table14[[#This Row],[Display name]], " "), 2)</f>
        <v>Utit</v>
      </c>
      <c r="D109" s="98" t="s">
        <v>863</v>
      </c>
      <c r="E109" s="27" t="s">
        <v>407</v>
      </c>
      <c r="F109" s="27" t="s">
        <v>406</v>
      </c>
      <c r="G109" s="27" t="s">
        <v>69</v>
      </c>
    </row>
    <row r="110" spans="1:7" x14ac:dyDescent="0.65">
      <c r="A110" s="31">
        <v>108</v>
      </c>
      <c r="B110" s="27" t="s">
        <v>864</v>
      </c>
      <c r="C110" s="98" t="str" cm="1">
        <f t="array" ref="C110">INDEX(_xlfn.TEXTSPLIT(Table14[[#This Row],[Display name]], " "), 2)</f>
        <v>Wanna</v>
      </c>
      <c r="D110" s="98" t="s">
        <v>865</v>
      </c>
      <c r="E110" s="27" t="s">
        <v>419</v>
      </c>
      <c r="F110" s="27" t="s">
        <v>413</v>
      </c>
      <c r="G110" s="27" t="s">
        <v>69</v>
      </c>
    </row>
    <row r="111" spans="1:7" x14ac:dyDescent="0.65">
      <c r="A111" s="31">
        <v>109</v>
      </c>
      <c r="B111" s="27" t="s">
        <v>866</v>
      </c>
      <c r="C111" s="98" t="str" cm="1">
        <f t="array" ref="C111">INDEX(_xlfn.TEXTSPLIT(Table14[[#This Row],[Display name]], " "), 2)</f>
        <v>Wassaris</v>
      </c>
      <c r="D111" s="98" t="s">
        <v>867</v>
      </c>
      <c r="E111" s="27" t="s">
        <v>267</v>
      </c>
      <c r="F111" s="27" t="s">
        <v>700</v>
      </c>
      <c r="G111" s="27" t="s">
        <v>268</v>
      </c>
    </row>
    <row r="112" spans="1:7" x14ac:dyDescent="0.65">
      <c r="A112" s="31">
        <v>110</v>
      </c>
      <c r="B112" s="27" t="s">
        <v>868</v>
      </c>
      <c r="C112" s="98" t="str" cm="1">
        <f t="array" ref="C112">INDEX(_xlfn.TEXTSPLIT(Table14[[#This Row],[Display name]], " "), 2)</f>
        <v>Watcharapol</v>
      </c>
      <c r="D112" s="98" t="s">
        <v>869</v>
      </c>
      <c r="E112" s="27" t="s">
        <v>870</v>
      </c>
      <c r="F112" s="27" t="s">
        <v>871</v>
      </c>
      <c r="G112" s="27" t="s">
        <v>694</v>
      </c>
    </row>
    <row r="113" spans="1:7" x14ac:dyDescent="0.65">
      <c r="A113" s="31">
        <v>111</v>
      </c>
      <c r="B113" s="27" t="s">
        <v>872</v>
      </c>
      <c r="C113" s="98" t="str" cm="1">
        <f t="array" ref="C113">INDEX(_xlfn.TEXTSPLIT(Table14[[#This Row],[Display name]], " "), 2)</f>
        <v>Watcharee</v>
      </c>
      <c r="D113" s="98" t="s">
        <v>873</v>
      </c>
      <c r="E113" s="27" t="s">
        <v>874</v>
      </c>
      <c r="F113" s="27" t="s">
        <v>577</v>
      </c>
      <c r="G113" s="27" t="s">
        <v>205</v>
      </c>
    </row>
    <row r="114" spans="1:7" x14ac:dyDescent="0.65">
      <c r="A114" s="31">
        <v>112</v>
      </c>
      <c r="B114" s="27" t="s">
        <v>875</v>
      </c>
      <c r="C114" s="98" t="str" cm="1">
        <f t="array" ref="C114">INDEX(_xlfn.TEXTSPLIT(Table14[[#This Row],[Display name]], " "), 2)</f>
        <v>Watcharin</v>
      </c>
      <c r="D114" s="98" t="s">
        <v>876</v>
      </c>
      <c r="E114" s="27" t="s">
        <v>877</v>
      </c>
      <c r="F114" s="27" t="s">
        <v>871</v>
      </c>
      <c r="G114" s="27" t="s">
        <v>694</v>
      </c>
    </row>
    <row r="115" spans="1:7" x14ac:dyDescent="0.65">
      <c r="A115" s="31">
        <v>113</v>
      </c>
      <c r="B115" s="27" t="s">
        <v>878</v>
      </c>
      <c r="C115" s="98" t="str" cm="1">
        <f t="array" ref="C115">INDEX(_xlfn.TEXTSPLIT(Table14[[#This Row],[Display name]], " "), 2)</f>
        <v>Wirat</v>
      </c>
      <c r="D115" s="98" t="s">
        <v>879</v>
      </c>
      <c r="E115" s="27" t="s">
        <v>880</v>
      </c>
      <c r="F115" s="27" t="s">
        <v>400</v>
      </c>
      <c r="G115" s="27" t="s">
        <v>205</v>
      </c>
    </row>
    <row r="116" spans="1:7" x14ac:dyDescent="0.65">
      <c r="A116" s="31">
        <v>114</v>
      </c>
      <c r="B116" s="27" t="s">
        <v>881</v>
      </c>
      <c r="C116" s="98" t="str" cm="1">
        <f t="array" ref="C116">INDEX(_xlfn.TEXTSPLIT(Table14[[#This Row],[Display name]], " "), 2)</f>
        <v>Wiriya</v>
      </c>
      <c r="D116" s="98" t="s">
        <v>882</v>
      </c>
      <c r="E116" s="27" t="s">
        <v>883</v>
      </c>
      <c r="F116" s="27" t="s">
        <v>400</v>
      </c>
      <c r="G116" s="27" t="s">
        <v>234</v>
      </c>
    </row>
    <row r="117" spans="1:7" x14ac:dyDescent="0.65">
      <c r="A117" s="31">
        <v>115</v>
      </c>
      <c r="B117" s="27" t="s">
        <v>884</v>
      </c>
      <c r="C117" s="98" t="str" cm="1">
        <f t="array" ref="C117">INDEX(_xlfn.TEXTSPLIT(Table14[[#This Row],[Display name]], " "), 2)</f>
        <v>Witchuda</v>
      </c>
      <c r="D117" s="98" t="s">
        <v>885</v>
      </c>
      <c r="E117" s="27" t="s">
        <v>263</v>
      </c>
      <c r="F117" s="27" t="s">
        <v>499</v>
      </c>
      <c r="G117" s="27" t="s">
        <v>258</v>
      </c>
    </row>
    <row r="118" spans="1:7" x14ac:dyDescent="0.65">
      <c r="A118" s="31">
        <v>116</v>
      </c>
      <c r="B118" s="27" t="s">
        <v>886</v>
      </c>
      <c r="C118" s="98" t="str" cm="1">
        <f t="array" ref="C118">INDEX(_xlfn.TEXTSPLIT(Table14[[#This Row],[Display name]], " "), 2)</f>
        <v>Woranan</v>
      </c>
      <c r="D118" s="98" t="s">
        <v>887</v>
      </c>
      <c r="E118" s="27" t="s">
        <v>458</v>
      </c>
      <c r="F118" s="27" t="s">
        <v>441</v>
      </c>
      <c r="G118" s="27" t="s">
        <v>69</v>
      </c>
    </row>
    <row r="119" spans="1:7" x14ac:dyDescent="0.65">
      <c r="A119" s="31">
        <v>117</v>
      </c>
      <c r="B119" s="27" t="s">
        <v>888</v>
      </c>
      <c r="C119" s="98" t="str" cm="1">
        <f t="array" ref="C119">INDEX(_xlfn.TEXTSPLIT(Table14[[#This Row],[Display name]], " "), 2)</f>
        <v>Worawit</v>
      </c>
      <c r="D119" s="98" t="s">
        <v>889</v>
      </c>
      <c r="E119" s="27" t="s">
        <v>890</v>
      </c>
      <c r="F119" s="27" t="s">
        <v>891</v>
      </c>
      <c r="G119" s="27" t="s">
        <v>69</v>
      </c>
    </row>
    <row r="120" spans="1:7" x14ac:dyDescent="0.65">
      <c r="A120" s="31">
        <v>118</v>
      </c>
      <c r="B120" s="27" t="s">
        <v>892</v>
      </c>
      <c r="C120" s="98" t="str" cm="1">
        <f t="array" ref="C120">INDEX(_xlfn.TEXTSPLIT(Table14[[#This Row],[Display name]], " "), 2)</f>
        <v>Yongyoot</v>
      </c>
      <c r="D120" s="98" t="s">
        <v>893</v>
      </c>
      <c r="E120" s="27" t="s">
        <v>252</v>
      </c>
      <c r="F120" s="27" t="s">
        <v>499</v>
      </c>
      <c r="G120" s="27" t="s">
        <v>234</v>
      </c>
    </row>
    <row r="121" spans="1:7" x14ac:dyDescent="0.65">
      <c r="A121" s="31">
        <v>119</v>
      </c>
      <c r="B121" s="27" t="s">
        <v>894</v>
      </c>
      <c r="C121" s="98" t="str" cm="1">
        <f t="array" ref="C121">INDEX(_xlfn.TEXTSPLIT(Table14[[#This Row],[Display name]], " "), 2)</f>
        <v>Yossawadee</v>
      </c>
      <c r="D121" s="98" t="s">
        <v>895</v>
      </c>
      <c r="E121" s="27" t="s">
        <v>896</v>
      </c>
      <c r="F121" s="27" t="s">
        <v>897</v>
      </c>
      <c r="G121" s="27" t="s">
        <v>69</v>
      </c>
    </row>
    <row r="122" spans="1:7" x14ac:dyDescent="0.65">
      <c r="A122" s="31">
        <v>120</v>
      </c>
      <c r="B122" s="27" t="s">
        <v>898</v>
      </c>
      <c r="C122" s="98" t="e" cm="1">
        <f t="array" ref="C122">INDEX(_xlfn.TEXTSPLIT(Table14[[#This Row],[Display name]], " "), 2)</f>
        <v>#REF!</v>
      </c>
      <c r="D122" s="98" t="s">
        <v>899</v>
      </c>
      <c r="E122" s="27" t="s">
        <v>900</v>
      </c>
      <c r="F122" s="27" t="s">
        <v>901</v>
      </c>
      <c r="G122" s="27" t="s">
        <v>69</v>
      </c>
    </row>
    <row r="123" spans="1:7" x14ac:dyDescent="0.65">
      <c r="A123" s="31">
        <v>121</v>
      </c>
      <c r="B123" s="27" t="s">
        <v>902</v>
      </c>
      <c r="C123" s="98" t="str" cm="1">
        <f t="array" ref="C123">INDEX(_xlfn.TEXTSPLIT(Table14[[#This Row],[Display name]], " "), 2)</f>
        <v>Chanin</v>
      </c>
      <c r="D123" s="98" t="s">
        <v>903</v>
      </c>
      <c r="E123" s="103" t="s">
        <v>904</v>
      </c>
      <c r="F123" s="27" t="s">
        <v>700</v>
      </c>
      <c r="G123" s="27" t="s">
        <v>397</v>
      </c>
    </row>
    <row r="124" spans="1:7" x14ac:dyDescent="0.65">
      <c r="A124" s="31">
        <v>122</v>
      </c>
      <c r="B124" s="1" t="s">
        <v>905</v>
      </c>
      <c r="C124" s="98" t="str" cm="1">
        <f t="array" ref="C124">INDEX(_xlfn.TEXTSPLIT(Table14[[#This Row],[Display name]], " "), 2)</f>
        <v>Hataurat</v>
      </c>
      <c r="D124" s="98" t="s">
        <v>906</v>
      </c>
      <c r="E124" s="103" t="s">
        <v>907</v>
      </c>
      <c r="F124" s="1" t="s">
        <v>150</v>
      </c>
      <c r="G124" s="1" t="s">
        <v>908</v>
      </c>
    </row>
    <row r="125" spans="1:7" x14ac:dyDescent="0.65">
      <c r="A125" s="31">
        <v>123</v>
      </c>
      <c r="B125" s="1" t="s">
        <v>909</v>
      </c>
      <c r="C125" s="98" t="str" cm="1">
        <f t="array" ref="C125">INDEX(_xlfn.TEXTSPLIT(Table14[[#This Row],[Display name]], " "), 2)</f>
        <v>Ismail</v>
      </c>
      <c r="D125" s="98" t="s">
        <v>910</v>
      </c>
      <c r="E125" s="103" t="s">
        <v>911</v>
      </c>
      <c r="F125" s="1" t="s">
        <v>429</v>
      </c>
      <c r="G125" s="27" t="s">
        <v>179</v>
      </c>
    </row>
    <row r="126" spans="1:7" x14ac:dyDescent="0.65">
      <c r="A126" s="31">
        <v>124</v>
      </c>
      <c r="B126" s="1" t="s">
        <v>84</v>
      </c>
      <c r="C126" s="98" t="e" cm="1">
        <f t="array" ref="C126">INDEX(_xlfn.TEXTSPLIT(Table14[[#This Row],[Display name]], " "), 2)</f>
        <v>#REF!</v>
      </c>
      <c r="D126" s="98"/>
    </row>
    <row r="127" spans="1:7" x14ac:dyDescent="0.65">
      <c r="A127" s="31">
        <v>125</v>
      </c>
      <c r="B127" s="1" t="s">
        <v>84</v>
      </c>
      <c r="C127" s="98" t="e" cm="1">
        <f t="array" ref="C127">INDEX(_xlfn.TEXTSPLIT(Table14[[#This Row],[Display name]], " "), 2)</f>
        <v>#REF!</v>
      </c>
      <c r="D127" s="98"/>
    </row>
    <row r="128" spans="1:7" x14ac:dyDescent="0.65">
      <c r="A128" s="126" t="s">
        <v>85</v>
      </c>
      <c r="B128" s="127"/>
      <c r="C128" s="128" t="s">
        <v>86</v>
      </c>
      <c r="D128" s="127"/>
    </row>
    <row r="129" spans="1:4" x14ac:dyDescent="0.65">
      <c r="A129" s="120" t="s">
        <v>87</v>
      </c>
      <c r="B129" s="121"/>
      <c r="C129" s="124">
        <f>COUNTIFS(Table14[Display name],"&lt;&gt;ว่าง")</f>
        <v>121</v>
      </c>
      <c r="D129" s="121"/>
    </row>
    <row r="130" spans="1:4" x14ac:dyDescent="0.65">
      <c r="A130" s="120" t="s">
        <v>88</v>
      </c>
      <c r="B130" s="121"/>
      <c r="C130" s="122">
        <f>COUNTIF(Table14[Display name],"ว่าง")</f>
        <v>4</v>
      </c>
      <c r="D130" s="123"/>
    </row>
    <row r="131" spans="1:4" x14ac:dyDescent="0.65">
      <c r="A131" s="120" t="s">
        <v>89</v>
      </c>
      <c r="B131" s="121"/>
      <c r="C131" s="124">
        <v>125</v>
      </c>
      <c r="D131" s="121"/>
    </row>
    <row r="132" spans="1:4" x14ac:dyDescent="0.65">
      <c r="A132" s="31"/>
      <c r="C132" s="41"/>
      <c r="D132" s="41"/>
    </row>
    <row r="133" spans="1:4" x14ac:dyDescent="0.65">
      <c r="A133" s="31"/>
      <c r="C133" s="41"/>
      <c r="D133" s="41"/>
    </row>
    <row r="134" spans="1:4" x14ac:dyDescent="0.65">
      <c r="A134" s="31"/>
      <c r="C134" s="41"/>
      <c r="D134" s="41"/>
    </row>
    <row r="135" spans="1:4" x14ac:dyDescent="0.65">
      <c r="A135" s="31"/>
      <c r="C135" s="41"/>
      <c r="D135" s="41"/>
    </row>
    <row r="136" spans="1:4" x14ac:dyDescent="0.65">
      <c r="A136" s="31"/>
      <c r="C136" s="41"/>
      <c r="D136" s="41"/>
    </row>
    <row r="137" spans="1:4" x14ac:dyDescent="0.65">
      <c r="A137" s="31"/>
      <c r="C137" s="41"/>
      <c r="D137" s="41"/>
    </row>
    <row r="138" spans="1:4" x14ac:dyDescent="0.65">
      <c r="A138" s="31"/>
      <c r="C138" s="41"/>
      <c r="D138" s="41"/>
    </row>
    <row r="139" spans="1:4" x14ac:dyDescent="0.65">
      <c r="A139" s="31"/>
      <c r="C139" s="41"/>
      <c r="D139" s="41"/>
    </row>
    <row r="140" spans="1:4" x14ac:dyDescent="0.65">
      <c r="A140" s="31"/>
      <c r="C140" s="41"/>
      <c r="D140" s="41"/>
    </row>
    <row r="141" spans="1:4" x14ac:dyDescent="0.65">
      <c r="A141" s="31"/>
      <c r="C141" s="41"/>
      <c r="D141" s="41"/>
    </row>
    <row r="142" spans="1:4" x14ac:dyDescent="0.65">
      <c r="A142" s="31"/>
      <c r="C142" s="41"/>
      <c r="D142" s="41"/>
    </row>
    <row r="143" spans="1:4" x14ac:dyDescent="0.65">
      <c r="A143" s="31"/>
      <c r="C143" s="41"/>
      <c r="D143" s="41"/>
    </row>
    <row r="144" spans="1:4" x14ac:dyDescent="0.65">
      <c r="A144" s="31"/>
      <c r="C144" s="41"/>
      <c r="D144" s="41"/>
    </row>
    <row r="145" spans="1:4" x14ac:dyDescent="0.65">
      <c r="A145" s="31"/>
      <c r="C145" s="41"/>
      <c r="D145" s="41"/>
    </row>
    <row r="146" spans="1:4" x14ac:dyDescent="0.65">
      <c r="A146" s="31"/>
      <c r="C146" s="41"/>
      <c r="D146" s="41"/>
    </row>
    <row r="147" spans="1:4" x14ac:dyDescent="0.65">
      <c r="A147" s="31"/>
      <c r="C147" s="41"/>
      <c r="D147" s="41"/>
    </row>
    <row r="148" spans="1:4" x14ac:dyDescent="0.65">
      <c r="A148" s="31"/>
      <c r="C148" s="41"/>
      <c r="D148" s="41"/>
    </row>
    <row r="149" spans="1:4" x14ac:dyDescent="0.65">
      <c r="A149" s="31"/>
      <c r="C149" s="41"/>
      <c r="D149" s="41"/>
    </row>
    <row r="150" spans="1:4" x14ac:dyDescent="0.65">
      <c r="A150" s="31"/>
      <c r="C150" s="41"/>
      <c r="D150" s="41"/>
    </row>
    <row r="151" spans="1:4" x14ac:dyDescent="0.65">
      <c r="A151" s="31"/>
      <c r="C151" s="41"/>
      <c r="D151" s="41"/>
    </row>
    <row r="152" spans="1:4" x14ac:dyDescent="0.65">
      <c r="A152" s="31"/>
      <c r="C152" s="41"/>
      <c r="D152" s="41"/>
    </row>
    <row r="153" spans="1:4" x14ac:dyDescent="0.65">
      <c r="A153" s="31"/>
      <c r="C153" s="41"/>
      <c r="D153" s="41"/>
    </row>
    <row r="154" spans="1:4" x14ac:dyDescent="0.65">
      <c r="A154" s="31"/>
      <c r="C154" s="41"/>
      <c r="D154" s="41"/>
    </row>
    <row r="155" spans="1:4" x14ac:dyDescent="0.65">
      <c r="A155" s="31"/>
      <c r="C155" s="41"/>
      <c r="D155" s="41"/>
    </row>
    <row r="156" spans="1:4" x14ac:dyDescent="0.65">
      <c r="A156" s="31"/>
      <c r="C156" s="41"/>
      <c r="D156" s="41"/>
    </row>
    <row r="157" spans="1:4" x14ac:dyDescent="0.65">
      <c r="A157" s="31"/>
      <c r="C157" s="41"/>
      <c r="D157" s="41"/>
    </row>
    <row r="158" spans="1:4" x14ac:dyDescent="0.65">
      <c r="A158" s="31"/>
      <c r="C158" s="41"/>
      <c r="D158" s="41"/>
    </row>
    <row r="159" spans="1:4" x14ac:dyDescent="0.65">
      <c r="A159" s="31"/>
      <c r="C159" s="41"/>
      <c r="D159" s="41"/>
    </row>
    <row r="160" spans="1:4" x14ac:dyDescent="0.65">
      <c r="A160" s="31"/>
      <c r="C160" s="41"/>
      <c r="D160" s="41"/>
    </row>
    <row r="161" spans="1:4" x14ac:dyDescent="0.65">
      <c r="A161" s="31"/>
      <c r="C161" s="41"/>
      <c r="D161" s="41"/>
    </row>
    <row r="162" spans="1:4" x14ac:dyDescent="0.65">
      <c r="A162" s="31"/>
      <c r="C162" s="41"/>
      <c r="D162" s="41"/>
    </row>
    <row r="163" spans="1:4" x14ac:dyDescent="0.65">
      <c r="A163" s="31"/>
      <c r="C163" s="41"/>
      <c r="D163" s="41"/>
    </row>
    <row r="164" spans="1:4" x14ac:dyDescent="0.65">
      <c r="A164" s="31"/>
      <c r="C164" s="41"/>
      <c r="D164" s="41"/>
    </row>
    <row r="165" spans="1:4" x14ac:dyDescent="0.65">
      <c r="A165" s="31"/>
      <c r="C165" s="41"/>
      <c r="D165" s="41"/>
    </row>
    <row r="166" spans="1:4" x14ac:dyDescent="0.65">
      <c r="A166" s="31"/>
      <c r="C166" s="41"/>
      <c r="D166" s="41"/>
    </row>
    <row r="167" spans="1:4" x14ac:dyDescent="0.65">
      <c r="A167" s="31"/>
      <c r="C167" s="41"/>
      <c r="D167" s="41"/>
    </row>
  </sheetData>
  <mergeCells count="9">
    <mergeCell ref="A130:B130"/>
    <mergeCell ref="C130:D130"/>
    <mergeCell ref="A131:B131"/>
    <mergeCell ref="C131:D131"/>
    <mergeCell ref="A1:G1"/>
    <mergeCell ref="A128:B128"/>
    <mergeCell ref="C128:D128"/>
    <mergeCell ref="A129:B129"/>
    <mergeCell ref="C129:D129"/>
  </mergeCells>
  <phoneticPr fontId="26" type="noConversion"/>
  <conditionalFormatting sqref="B1:B1048576">
    <cfRule type="duplicateValues" dxfId="10" priority="1"/>
    <cfRule type="duplicateValues" dxfId="9" priority="2"/>
  </conditionalFormatting>
  <conditionalFormatting sqref="C128:D12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{44375C8F-2B06-49FC-9CD3-A389FF7C06E4}</x14:id>
        </ext>
      </extLst>
    </cfRule>
  </conditionalFormatting>
  <conditionalFormatting sqref="E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{8E411A21-3D99-415E-8E28-8889DDA24AF1}</x14:id>
        </ext>
      </extLst>
    </cfRule>
  </conditionalFormatting>
  <hyperlinks>
    <hyperlink ref="E6" r:id="rId1" xr:uid="{BAE6202A-075E-459D-A459-0CA0C1A0C07F}"/>
    <hyperlink ref="E123" r:id="rId2" xr:uid="{746A38DF-2881-4CCD-94A9-7B2F3FD7CB48}"/>
    <hyperlink ref="E124" r:id="rId3" xr:uid="{58544D33-A62B-4B70-8129-0C8E839980E9}"/>
    <hyperlink ref="E125" r:id="rId4" xr:uid="{F31F6A74-1090-4BE3-A33B-3E347CE625A3}"/>
  </hyperlinks>
  <pageMargins left="0.7" right="0.7" top="0.75" bottom="0.75" header="0.3" footer="0.3"/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375C8F-2B06-49FC-9CD3-A389FF7C06E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C128:D128</xm:sqref>
        </x14:conditionalFormatting>
        <x14:conditionalFormatting xmlns:xm="http://schemas.microsoft.com/office/excel/2006/main">
          <x14:cfRule type="dataBar" id="{8E411A21-3D99-415E-8E28-8889DDA24AF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1EC8-768C-4EEA-898E-AC24BBB5B1F2}">
  <dimension ref="A1:G73"/>
  <sheetViews>
    <sheetView workbookViewId="0">
      <selection activeCell="B12" sqref="B12"/>
    </sheetView>
  </sheetViews>
  <sheetFormatPr defaultColWidth="9" defaultRowHeight="25.8" x14ac:dyDescent="0.65"/>
  <cols>
    <col min="1" max="1" width="9.5" style="31" bestFit="1" customWidth="1"/>
    <col min="2" max="2" width="31.09765625" style="1" bestFit="1" customWidth="1"/>
    <col min="3" max="3" width="13.8984375" style="1" bestFit="1" customWidth="1"/>
    <col min="4" max="4" width="17.59765625" style="1" bestFit="1" customWidth="1"/>
    <col min="5" max="5" width="27.09765625" style="1" bestFit="1" customWidth="1"/>
    <col min="6" max="6" width="45.59765625" style="1" bestFit="1" customWidth="1"/>
    <col min="7" max="7" width="24.59765625" style="1" bestFit="1" customWidth="1"/>
    <col min="8" max="16384" width="9" style="1"/>
  </cols>
  <sheetData>
    <row r="1" spans="1:7" s="31" customFormat="1" x14ac:dyDescent="0.65">
      <c r="A1" s="134" t="s">
        <v>912</v>
      </c>
      <c r="B1" s="134"/>
      <c r="C1" s="134"/>
      <c r="D1" s="134"/>
      <c r="E1" s="134"/>
      <c r="F1" s="134"/>
      <c r="G1" s="134"/>
    </row>
    <row r="2" spans="1:7" ht="26.4" x14ac:dyDescent="0.65">
      <c r="A2" s="29" t="s">
        <v>55</v>
      </c>
      <c r="B2" s="30" t="s">
        <v>518</v>
      </c>
      <c r="C2" s="30" t="s">
        <v>519</v>
      </c>
      <c r="D2" s="30" t="s">
        <v>520</v>
      </c>
      <c r="E2" s="32" t="s">
        <v>60</v>
      </c>
      <c r="F2" s="30" t="s">
        <v>92</v>
      </c>
      <c r="G2" s="30" t="s">
        <v>521</v>
      </c>
    </row>
    <row r="3" spans="1:7" x14ac:dyDescent="0.65">
      <c r="A3" s="43">
        <v>1</v>
      </c>
      <c r="B3" s="42" t="s">
        <v>913</v>
      </c>
      <c r="C3" s="42" t="s">
        <v>914</v>
      </c>
      <c r="D3" s="42" t="s">
        <v>915</v>
      </c>
      <c r="E3" s="42" t="s">
        <v>916</v>
      </c>
      <c r="F3" s="42" t="s">
        <v>917</v>
      </c>
      <c r="G3" s="42" t="s">
        <v>69</v>
      </c>
    </row>
    <row r="4" spans="1:7" x14ac:dyDescent="0.65">
      <c r="A4" s="43">
        <v>2</v>
      </c>
      <c r="B4" s="42" t="s">
        <v>918</v>
      </c>
      <c r="C4" s="42" t="s">
        <v>919</v>
      </c>
      <c r="D4" s="42" t="s">
        <v>920</v>
      </c>
      <c r="E4" s="42" t="s">
        <v>921</v>
      </c>
      <c r="F4" s="42" t="s">
        <v>588</v>
      </c>
      <c r="G4" s="42" t="s">
        <v>219</v>
      </c>
    </row>
    <row r="5" spans="1:7" x14ac:dyDescent="0.65">
      <c r="A5" s="43">
        <v>3</v>
      </c>
      <c r="B5" s="42" t="s">
        <v>922</v>
      </c>
      <c r="C5" s="42" t="s">
        <v>923</v>
      </c>
      <c r="D5" s="42" t="s">
        <v>924</v>
      </c>
      <c r="E5" s="42" t="s">
        <v>68</v>
      </c>
      <c r="F5" s="42" t="s">
        <v>67</v>
      </c>
      <c r="G5" s="42" t="s">
        <v>69</v>
      </c>
    </row>
    <row r="6" spans="1:7" x14ac:dyDescent="0.65">
      <c r="A6" s="43">
        <v>4</v>
      </c>
      <c r="B6" s="42" t="s">
        <v>925</v>
      </c>
      <c r="C6" s="42" t="s">
        <v>926</v>
      </c>
      <c r="D6" s="42" t="s">
        <v>927</v>
      </c>
      <c r="E6" s="42" t="s">
        <v>928</v>
      </c>
      <c r="F6" s="42" t="s">
        <v>929</v>
      </c>
      <c r="G6" s="42" t="s">
        <v>69</v>
      </c>
    </row>
    <row r="7" spans="1:7" x14ac:dyDescent="0.65">
      <c r="A7" s="43">
        <v>5</v>
      </c>
      <c r="B7" s="42" t="s">
        <v>930</v>
      </c>
      <c r="C7" s="42" t="s">
        <v>931</v>
      </c>
      <c r="D7" s="42" t="s">
        <v>932</v>
      </c>
      <c r="E7" s="42" t="s">
        <v>933</v>
      </c>
      <c r="F7" s="42" t="s">
        <v>934</v>
      </c>
      <c r="G7" s="42" t="s">
        <v>69</v>
      </c>
    </row>
    <row r="8" spans="1:7" x14ac:dyDescent="0.65">
      <c r="A8" s="43">
        <v>6</v>
      </c>
      <c r="B8" s="42" t="s">
        <v>935</v>
      </c>
      <c r="C8" s="42" t="s">
        <v>936</v>
      </c>
      <c r="D8" s="42" t="s">
        <v>937</v>
      </c>
      <c r="E8" s="42" t="s">
        <v>938</v>
      </c>
      <c r="F8" s="42" t="s">
        <v>939</v>
      </c>
      <c r="G8" s="42" t="s">
        <v>69</v>
      </c>
    </row>
    <row r="9" spans="1:7" x14ac:dyDescent="0.65">
      <c r="A9" s="43">
        <v>7</v>
      </c>
      <c r="B9" s="42" t="s">
        <v>940</v>
      </c>
      <c r="C9" s="42" t="s">
        <v>941</v>
      </c>
      <c r="D9" s="42" t="s">
        <v>942</v>
      </c>
      <c r="E9" s="42" t="s">
        <v>74</v>
      </c>
      <c r="F9" s="42" t="s">
        <v>73</v>
      </c>
      <c r="G9" s="42" t="s">
        <v>69</v>
      </c>
    </row>
    <row r="10" spans="1:7" x14ac:dyDescent="0.65">
      <c r="A10" s="54">
        <v>8</v>
      </c>
      <c r="B10" s="55" t="s">
        <v>943</v>
      </c>
      <c r="C10" s="55" t="s">
        <v>944</v>
      </c>
      <c r="D10" s="55" t="s">
        <v>945</v>
      </c>
      <c r="E10" s="55" t="s">
        <v>151</v>
      </c>
      <c r="F10" s="55" t="s">
        <v>150</v>
      </c>
      <c r="G10" s="55" t="s">
        <v>146</v>
      </c>
    </row>
    <row r="11" spans="1:7" x14ac:dyDescent="0.65">
      <c r="A11" s="43">
        <v>9</v>
      </c>
      <c r="B11" s="42" t="s">
        <v>946</v>
      </c>
      <c r="C11" s="42" t="s">
        <v>947</v>
      </c>
      <c r="D11" s="42" t="s">
        <v>948</v>
      </c>
      <c r="E11" s="42" t="s">
        <v>949</v>
      </c>
      <c r="F11" s="42" t="s">
        <v>950</v>
      </c>
      <c r="G11" s="42" t="s">
        <v>69</v>
      </c>
    </row>
    <row r="12" spans="1:7" x14ac:dyDescent="0.65">
      <c r="A12" s="54">
        <v>10</v>
      </c>
      <c r="B12" s="55" t="s">
        <v>753</v>
      </c>
      <c r="C12" s="55" t="s">
        <v>951</v>
      </c>
      <c r="D12" s="55" t="s">
        <v>754</v>
      </c>
      <c r="E12" s="55" t="s">
        <v>952</v>
      </c>
      <c r="F12" s="55" t="s">
        <v>400</v>
      </c>
      <c r="G12" s="55" t="s">
        <v>234</v>
      </c>
    </row>
    <row r="13" spans="1:7" x14ac:dyDescent="0.65">
      <c r="A13" s="54">
        <v>11</v>
      </c>
      <c r="B13" s="55" t="s">
        <v>953</v>
      </c>
      <c r="C13" s="55" t="s">
        <v>954</v>
      </c>
      <c r="D13" s="55" t="s">
        <v>955</v>
      </c>
      <c r="E13" s="55" t="s">
        <v>956</v>
      </c>
      <c r="F13" s="55" t="s">
        <v>400</v>
      </c>
      <c r="G13" s="55" t="s">
        <v>205</v>
      </c>
    </row>
    <row r="14" spans="1:7" x14ac:dyDescent="0.65">
      <c r="A14" s="43">
        <v>12</v>
      </c>
      <c r="B14" s="42" t="s">
        <v>957</v>
      </c>
      <c r="C14" s="42" t="s">
        <v>958</v>
      </c>
      <c r="D14" s="42" t="s">
        <v>959</v>
      </c>
      <c r="E14" s="42" t="s">
        <v>960</v>
      </c>
      <c r="F14" s="42" t="s">
        <v>77</v>
      </c>
      <c r="G14" s="42" t="s">
        <v>69</v>
      </c>
    </row>
    <row r="15" spans="1:7" x14ac:dyDescent="0.65">
      <c r="A15" s="43">
        <v>13</v>
      </c>
      <c r="B15" s="42" t="s">
        <v>961</v>
      </c>
      <c r="C15" s="42" t="s">
        <v>962</v>
      </c>
      <c r="D15" s="42" t="s">
        <v>963</v>
      </c>
      <c r="E15" s="42" t="s">
        <v>964</v>
      </c>
      <c r="F15" s="42" t="s">
        <v>965</v>
      </c>
      <c r="G15" s="42" t="s">
        <v>69</v>
      </c>
    </row>
    <row r="16" spans="1:7" x14ac:dyDescent="0.65">
      <c r="A16" s="54">
        <v>14</v>
      </c>
      <c r="B16" s="55" t="s">
        <v>966</v>
      </c>
      <c r="C16" s="55" t="s">
        <v>967</v>
      </c>
      <c r="D16" s="55" t="s">
        <v>968</v>
      </c>
      <c r="E16" s="55" t="s">
        <v>156</v>
      </c>
      <c r="F16" s="55" t="s">
        <v>969</v>
      </c>
      <c r="G16" s="56" t="s">
        <v>146</v>
      </c>
    </row>
    <row r="17" spans="1:7" x14ac:dyDescent="0.65">
      <c r="A17" s="43">
        <v>15</v>
      </c>
      <c r="B17" s="42" t="s">
        <v>970</v>
      </c>
      <c r="C17" s="42" t="s">
        <v>971</v>
      </c>
      <c r="D17" s="42" t="s">
        <v>972</v>
      </c>
      <c r="E17" s="42" t="s">
        <v>973</v>
      </c>
      <c r="F17" s="42" t="s">
        <v>499</v>
      </c>
      <c r="G17" s="42" t="s">
        <v>146</v>
      </c>
    </row>
    <row r="18" spans="1:7" x14ac:dyDescent="0.65">
      <c r="A18" s="43">
        <v>16</v>
      </c>
      <c r="B18" s="42" t="s">
        <v>974</v>
      </c>
      <c r="C18" s="42" t="s">
        <v>975</v>
      </c>
      <c r="D18" s="42" t="s">
        <v>976</v>
      </c>
      <c r="E18" s="42" t="s">
        <v>977</v>
      </c>
      <c r="F18" s="42" t="s">
        <v>978</v>
      </c>
      <c r="G18" s="42" t="s">
        <v>69</v>
      </c>
    </row>
    <row r="19" spans="1:7" x14ac:dyDescent="0.65">
      <c r="A19" s="54">
        <v>17</v>
      </c>
      <c r="B19" s="55" t="s">
        <v>979</v>
      </c>
      <c r="C19" s="55" t="s">
        <v>980</v>
      </c>
      <c r="D19" s="55" t="s">
        <v>981</v>
      </c>
      <c r="E19" s="55" t="s">
        <v>187</v>
      </c>
      <c r="F19" s="55" t="s">
        <v>150</v>
      </c>
      <c r="G19" s="55" t="s">
        <v>179</v>
      </c>
    </row>
    <row r="20" spans="1:7" x14ac:dyDescent="0.65">
      <c r="A20" s="43">
        <v>18</v>
      </c>
      <c r="B20" s="42" t="s">
        <v>982</v>
      </c>
      <c r="C20" s="42" t="s">
        <v>983</v>
      </c>
      <c r="D20" s="42" t="s">
        <v>984</v>
      </c>
      <c r="E20" s="42" t="s">
        <v>161</v>
      </c>
      <c r="F20" s="42" t="s">
        <v>429</v>
      </c>
      <c r="G20" s="42" t="s">
        <v>146</v>
      </c>
    </row>
    <row r="21" spans="1:7" x14ac:dyDescent="0.65">
      <c r="A21" s="43">
        <v>19</v>
      </c>
      <c r="B21" s="42" t="s">
        <v>985</v>
      </c>
      <c r="C21" s="42" t="s">
        <v>986</v>
      </c>
      <c r="D21" s="42" t="s">
        <v>987</v>
      </c>
      <c r="E21" s="42" t="s">
        <v>988</v>
      </c>
      <c r="F21" s="42" t="s">
        <v>989</v>
      </c>
      <c r="G21" s="42" t="s">
        <v>69</v>
      </c>
    </row>
    <row r="22" spans="1:7" x14ac:dyDescent="0.65">
      <c r="A22" s="43">
        <v>20</v>
      </c>
      <c r="B22" s="42" t="s">
        <v>990</v>
      </c>
      <c r="C22" s="42" t="s">
        <v>991</v>
      </c>
      <c r="D22" s="42" t="s">
        <v>992</v>
      </c>
      <c r="E22" s="42" t="s">
        <v>993</v>
      </c>
      <c r="F22" s="42" t="s">
        <v>400</v>
      </c>
      <c r="G22" s="42" t="s">
        <v>140</v>
      </c>
    </row>
    <row r="23" spans="1:7" x14ac:dyDescent="0.65">
      <c r="A23" s="43">
        <v>21</v>
      </c>
      <c r="B23" s="42" t="s">
        <v>994</v>
      </c>
      <c r="C23" s="42" t="s">
        <v>995</v>
      </c>
      <c r="D23" s="42" t="s">
        <v>996</v>
      </c>
      <c r="E23" s="42" t="s">
        <v>361</v>
      </c>
      <c r="F23" s="42" t="s">
        <v>700</v>
      </c>
      <c r="G23" s="42" t="s">
        <v>219</v>
      </c>
    </row>
    <row r="24" spans="1:7" x14ac:dyDescent="0.65">
      <c r="A24" s="43">
        <v>22</v>
      </c>
      <c r="B24" s="42" t="s">
        <v>997</v>
      </c>
      <c r="C24" s="42" t="s">
        <v>998</v>
      </c>
      <c r="D24" s="42" t="s">
        <v>999</v>
      </c>
      <c r="E24" s="42" t="s">
        <v>288</v>
      </c>
      <c r="F24" s="42" t="s">
        <v>499</v>
      </c>
      <c r="G24" s="42" t="s">
        <v>284</v>
      </c>
    </row>
    <row r="25" spans="1:7" x14ac:dyDescent="0.65">
      <c r="A25" s="43">
        <v>23</v>
      </c>
      <c r="B25" s="42" t="s">
        <v>1000</v>
      </c>
      <c r="C25" s="42" t="s">
        <v>1001</v>
      </c>
      <c r="D25" s="42" t="s">
        <v>1002</v>
      </c>
      <c r="E25" s="42" t="s">
        <v>343</v>
      </c>
      <c r="F25" s="42" t="s">
        <v>1003</v>
      </c>
      <c r="G25" s="42" t="s">
        <v>146</v>
      </c>
    </row>
    <row r="26" spans="1:7" x14ac:dyDescent="0.65">
      <c r="A26" s="43">
        <v>24</v>
      </c>
      <c r="B26" s="42" t="s">
        <v>1004</v>
      </c>
      <c r="C26" s="42" t="s">
        <v>1005</v>
      </c>
      <c r="D26" s="42" t="s">
        <v>1006</v>
      </c>
      <c r="E26" s="42" t="s">
        <v>424</v>
      </c>
      <c r="F26" s="42" t="s">
        <v>413</v>
      </c>
      <c r="G26" s="42" t="s">
        <v>69</v>
      </c>
    </row>
    <row r="27" spans="1:7" x14ac:dyDescent="0.65">
      <c r="A27" s="43">
        <v>25</v>
      </c>
      <c r="B27" s="42" t="s">
        <v>1007</v>
      </c>
      <c r="C27" s="42" t="s">
        <v>1008</v>
      </c>
      <c r="D27" s="42" t="s">
        <v>1009</v>
      </c>
      <c r="E27" s="42" t="s">
        <v>1010</v>
      </c>
      <c r="F27" s="42" t="s">
        <v>1011</v>
      </c>
      <c r="G27" s="42" t="s">
        <v>69</v>
      </c>
    </row>
    <row r="28" spans="1:7" x14ac:dyDescent="0.65">
      <c r="A28" s="43">
        <v>26</v>
      </c>
      <c r="B28" s="42" t="s">
        <v>1012</v>
      </c>
      <c r="C28" s="42" t="s">
        <v>1013</v>
      </c>
      <c r="D28" s="42" t="s">
        <v>1014</v>
      </c>
      <c r="E28" s="42" t="s">
        <v>327</v>
      </c>
      <c r="F28" s="42" t="s">
        <v>871</v>
      </c>
      <c r="G28" s="42" t="s">
        <v>69</v>
      </c>
    </row>
    <row r="29" spans="1:7" x14ac:dyDescent="0.65">
      <c r="A29" s="43">
        <v>27</v>
      </c>
      <c r="B29" s="42" t="s">
        <v>1015</v>
      </c>
      <c r="C29" s="42" t="s">
        <v>1016</v>
      </c>
      <c r="D29" s="42" t="s">
        <v>1017</v>
      </c>
      <c r="E29" s="42" t="s">
        <v>195</v>
      </c>
      <c r="F29" s="42" t="s">
        <v>700</v>
      </c>
      <c r="G29" s="42" t="s">
        <v>179</v>
      </c>
    </row>
    <row r="30" spans="1:7" x14ac:dyDescent="0.65">
      <c r="A30" s="43">
        <v>28</v>
      </c>
      <c r="B30" s="42" t="s">
        <v>1018</v>
      </c>
      <c r="C30" s="42" t="s">
        <v>1019</v>
      </c>
      <c r="D30" s="42" t="s">
        <v>1020</v>
      </c>
      <c r="E30" s="42" t="s">
        <v>334</v>
      </c>
      <c r="F30" s="42" t="s">
        <v>1021</v>
      </c>
      <c r="G30" s="42" t="s">
        <v>69</v>
      </c>
    </row>
    <row r="31" spans="1:7" x14ac:dyDescent="0.65">
      <c r="A31" s="43">
        <v>29</v>
      </c>
      <c r="B31" s="42" t="s">
        <v>1022</v>
      </c>
      <c r="C31" s="42" t="s">
        <v>1023</v>
      </c>
      <c r="D31" s="42" t="s">
        <v>1024</v>
      </c>
      <c r="E31" s="42" t="s">
        <v>1025</v>
      </c>
      <c r="F31" s="42" t="s">
        <v>577</v>
      </c>
      <c r="G31" s="42" t="s">
        <v>234</v>
      </c>
    </row>
    <row r="32" spans="1:7" x14ac:dyDescent="0.65">
      <c r="A32" s="43">
        <v>30</v>
      </c>
      <c r="B32" s="42" t="s">
        <v>1026</v>
      </c>
      <c r="C32" s="42" t="s">
        <v>1027</v>
      </c>
      <c r="D32" s="42" t="s">
        <v>1028</v>
      </c>
      <c r="E32" s="42" t="s">
        <v>1029</v>
      </c>
      <c r="F32" s="42" t="s">
        <v>571</v>
      </c>
      <c r="G32" s="42" t="s">
        <v>69</v>
      </c>
    </row>
    <row r="33" spans="1:7" x14ac:dyDescent="0.65">
      <c r="A33" s="43">
        <v>31</v>
      </c>
      <c r="B33" s="42" t="s">
        <v>1030</v>
      </c>
      <c r="C33" s="42" t="s">
        <v>1031</v>
      </c>
      <c r="D33" s="42" t="s">
        <v>540</v>
      </c>
      <c r="E33" s="42" t="s">
        <v>1032</v>
      </c>
      <c r="F33" s="42" t="s">
        <v>1033</v>
      </c>
      <c r="G33" s="42" t="s">
        <v>69</v>
      </c>
    </row>
    <row r="34" spans="1:7" x14ac:dyDescent="0.65">
      <c r="A34" s="43">
        <v>32</v>
      </c>
      <c r="B34" s="42" t="s">
        <v>84</v>
      </c>
      <c r="C34" s="42"/>
      <c r="D34" s="42"/>
      <c r="E34" s="42"/>
      <c r="F34" s="42"/>
      <c r="G34" s="42"/>
    </row>
    <row r="35" spans="1:7" x14ac:dyDescent="0.65">
      <c r="A35" s="43">
        <v>33</v>
      </c>
      <c r="B35" s="42" t="s">
        <v>84</v>
      </c>
      <c r="C35" s="42"/>
      <c r="D35" s="42"/>
      <c r="E35" s="42"/>
      <c r="F35" s="42"/>
      <c r="G35" s="42"/>
    </row>
    <row r="36" spans="1:7" x14ac:dyDescent="0.65">
      <c r="A36" s="43">
        <v>34</v>
      </c>
      <c r="B36" s="42" t="s">
        <v>84</v>
      </c>
      <c r="C36" s="42"/>
      <c r="D36" s="42"/>
      <c r="E36" s="42"/>
      <c r="F36" s="42"/>
      <c r="G36" s="42"/>
    </row>
    <row r="37" spans="1:7" x14ac:dyDescent="0.65">
      <c r="A37" s="43">
        <v>35</v>
      </c>
      <c r="B37" s="42" t="s">
        <v>84</v>
      </c>
      <c r="C37" s="42"/>
      <c r="D37" s="42"/>
      <c r="E37" s="42"/>
      <c r="F37" s="42"/>
      <c r="G37" s="42"/>
    </row>
    <row r="38" spans="1:7" x14ac:dyDescent="0.65">
      <c r="A38" s="126" t="s">
        <v>85</v>
      </c>
      <c r="B38" s="127"/>
      <c r="C38" s="128" t="s">
        <v>86</v>
      </c>
      <c r="D38" s="127"/>
    </row>
    <row r="39" spans="1:7" x14ac:dyDescent="0.65">
      <c r="A39" s="120" t="s">
        <v>87</v>
      </c>
      <c r="B39" s="121"/>
      <c r="C39" s="124">
        <f>COUNTIFS(Table13[Display name],"&lt;&gt;ว่าง")</f>
        <v>31</v>
      </c>
      <c r="D39" s="121"/>
    </row>
    <row r="40" spans="1:7" x14ac:dyDescent="0.65">
      <c r="A40" s="120" t="s">
        <v>88</v>
      </c>
      <c r="B40" s="121"/>
      <c r="C40" s="122">
        <f>COUNTIF(Table13[Display name],"ว่าง")</f>
        <v>4</v>
      </c>
      <c r="D40" s="123"/>
    </row>
    <row r="41" spans="1:7" x14ac:dyDescent="0.65">
      <c r="A41" s="120" t="s">
        <v>89</v>
      </c>
      <c r="B41" s="121"/>
      <c r="C41" s="124">
        <f>C39+C40</f>
        <v>35</v>
      </c>
      <c r="D41" s="121"/>
    </row>
    <row r="42" spans="1:7" x14ac:dyDescent="0.65">
      <c r="C42" s="41"/>
      <c r="D42" s="41"/>
    </row>
    <row r="43" spans="1:7" x14ac:dyDescent="0.65">
      <c r="C43" s="41"/>
      <c r="D43" s="41"/>
    </row>
    <row r="44" spans="1:7" x14ac:dyDescent="0.65">
      <c r="C44" s="41"/>
      <c r="D44" s="41"/>
    </row>
    <row r="45" spans="1:7" x14ac:dyDescent="0.65">
      <c r="C45" s="41"/>
      <c r="D45" s="41"/>
    </row>
    <row r="46" spans="1:7" x14ac:dyDescent="0.65">
      <c r="C46" s="41"/>
      <c r="D46" s="41"/>
    </row>
    <row r="47" spans="1:7" x14ac:dyDescent="0.65">
      <c r="C47" s="41"/>
      <c r="D47" s="41"/>
    </row>
    <row r="48" spans="1:7" x14ac:dyDescent="0.65">
      <c r="C48" s="41"/>
      <c r="D48" s="41"/>
    </row>
    <row r="49" spans="3:4" x14ac:dyDescent="0.65">
      <c r="C49" s="41"/>
      <c r="D49" s="41"/>
    </row>
    <row r="50" spans="3:4" x14ac:dyDescent="0.65">
      <c r="C50" s="41"/>
      <c r="D50" s="41"/>
    </row>
    <row r="51" spans="3:4" x14ac:dyDescent="0.65">
      <c r="C51" s="41"/>
      <c r="D51" s="41"/>
    </row>
    <row r="52" spans="3:4" x14ac:dyDescent="0.65">
      <c r="C52" s="41"/>
      <c r="D52" s="41"/>
    </row>
    <row r="53" spans="3:4" x14ac:dyDescent="0.65">
      <c r="C53" s="41"/>
      <c r="D53" s="41"/>
    </row>
    <row r="54" spans="3:4" x14ac:dyDescent="0.65">
      <c r="C54" s="41"/>
      <c r="D54" s="41"/>
    </row>
    <row r="55" spans="3:4" x14ac:dyDescent="0.65">
      <c r="C55" s="41"/>
      <c r="D55" s="41"/>
    </row>
    <row r="56" spans="3:4" x14ac:dyDescent="0.65">
      <c r="C56" s="41"/>
      <c r="D56" s="41"/>
    </row>
    <row r="57" spans="3:4" x14ac:dyDescent="0.65">
      <c r="C57" s="41"/>
      <c r="D57" s="41"/>
    </row>
    <row r="58" spans="3:4" x14ac:dyDescent="0.65">
      <c r="C58" s="41"/>
      <c r="D58" s="41"/>
    </row>
    <row r="59" spans="3:4" x14ac:dyDescent="0.65">
      <c r="C59" s="41"/>
      <c r="D59" s="41"/>
    </row>
    <row r="60" spans="3:4" x14ac:dyDescent="0.65">
      <c r="C60" s="41"/>
      <c r="D60" s="41"/>
    </row>
    <row r="61" spans="3:4" x14ac:dyDescent="0.65">
      <c r="C61" s="41"/>
      <c r="D61" s="41"/>
    </row>
    <row r="62" spans="3:4" x14ac:dyDescent="0.65">
      <c r="C62" s="41"/>
      <c r="D62" s="41"/>
    </row>
    <row r="63" spans="3:4" x14ac:dyDescent="0.65">
      <c r="C63" s="41"/>
      <c r="D63" s="41"/>
    </row>
    <row r="64" spans="3:4" x14ac:dyDescent="0.65">
      <c r="C64" s="41"/>
      <c r="D64" s="41"/>
    </row>
    <row r="65" spans="3:4" x14ac:dyDescent="0.65">
      <c r="C65" s="41"/>
      <c r="D65" s="41"/>
    </row>
    <row r="66" spans="3:4" x14ac:dyDescent="0.65">
      <c r="C66" s="41"/>
      <c r="D66" s="41"/>
    </row>
    <row r="67" spans="3:4" x14ac:dyDescent="0.65">
      <c r="C67" s="41"/>
      <c r="D67" s="41"/>
    </row>
    <row r="68" spans="3:4" x14ac:dyDescent="0.65">
      <c r="C68" s="41"/>
      <c r="D68" s="41"/>
    </row>
    <row r="69" spans="3:4" x14ac:dyDescent="0.65">
      <c r="C69" s="41"/>
      <c r="D69" s="41"/>
    </row>
    <row r="70" spans="3:4" x14ac:dyDescent="0.65">
      <c r="C70" s="41"/>
      <c r="D70" s="41"/>
    </row>
    <row r="71" spans="3:4" x14ac:dyDescent="0.65">
      <c r="C71" s="41"/>
      <c r="D71" s="41"/>
    </row>
    <row r="72" spans="3:4" x14ac:dyDescent="0.65">
      <c r="C72" s="41"/>
      <c r="D72" s="41"/>
    </row>
    <row r="73" spans="3:4" x14ac:dyDescent="0.65">
      <c r="C73" s="41"/>
      <c r="D73" s="41"/>
    </row>
  </sheetData>
  <mergeCells count="9">
    <mergeCell ref="A40:B40"/>
    <mergeCell ref="C40:D40"/>
    <mergeCell ref="A41:B41"/>
    <mergeCell ref="C41:D41"/>
    <mergeCell ref="A1:G1"/>
    <mergeCell ref="A38:B38"/>
    <mergeCell ref="C38:D38"/>
    <mergeCell ref="A39:B39"/>
    <mergeCell ref="C39:D39"/>
  </mergeCells>
  <conditionalFormatting sqref="B38:B41">
    <cfRule type="duplicateValues" dxfId="8" priority="2"/>
    <cfRule type="duplicateValues" dxfId="7" priority="3"/>
  </conditionalFormatting>
  <conditionalFormatting sqref="C1:D1048576">
    <cfRule type="duplicateValues" dxfId="6" priority="1"/>
  </conditionalFormatting>
  <conditionalFormatting sqref="C38:D38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{89D94E2C-ABA3-459F-B3C6-8F54F612AE7A}</x14:id>
        </ext>
      </extLst>
    </cfRule>
  </conditionalFormatting>
  <conditionalFormatting sqref="E2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{EF3FB236-CE12-4FA1-B14D-2ECC6E6DACB0}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D94E2C-ABA3-459F-B3C6-8F54F612AE7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C38:D38</xm:sqref>
        </x14:conditionalFormatting>
        <x14:conditionalFormatting xmlns:xm="http://schemas.microsoft.com/office/excel/2006/main">
          <x14:cfRule type="dataBar" id="{EF3FB236-CE12-4FA1-B14D-2ECC6E6DAC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71D6-A4DD-40D4-BBB3-ECDC03067945}">
  <dimension ref="A1:G8"/>
  <sheetViews>
    <sheetView workbookViewId="0">
      <selection activeCell="G13" sqref="G13"/>
    </sheetView>
  </sheetViews>
  <sheetFormatPr defaultRowHeight="13.8" x14ac:dyDescent="0.25"/>
  <cols>
    <col min="1" max="1" width="5.5" bestFit="1" customWidth="1"/>
    <col min="2" max="2" width="14.59765625" bestFit="1" customWidth="1"/>
    <col min="3" max="3" width="10.09765625" bestFit="1" customWidth="1"/>
    <col min="4" max="4" width="10.8984375" bestFit="1" customWidth="1"/>
    <col min="5" max="5" width="23" bestFit="1" customWidth="1"/>
    <col min="6" max="6" width="21" bestFit="1" customWidth="1"/>
    <col min="7" max="7" width="21.09765625" bestFit="1" customWidth="1"/>
    <col min="16384" max="16384" width="9" bestFit="1" customWidth="1"/>
  </cols>
  <sheetData>
    <row r="1" spans="1:7" ht="26.25" customHeight="1" x14ac:dyDescent="0.65">
      <c r="A1" s="134" t="s">
        <v>1034</v>
      </c>
      <c r="B1" s="134"/>
      <c r="C1" s="134"/>
      <c r="D1" s="134"/>
      <c r="E1" s="134"/>
      <c r="F1" s="134"/>
      <c r="G1" s="134"/>
    </row>
    <row r="2" spans="1:7" ht="26.4" x14ac:dyDescent="0.25">
      <c r="A2" s="29" t="s">
        <v>55</v>
      </c>
      <c r="B2" s="30" t="s">
        <v>518</v>
      </c>
      <c r="C2" s="30" t="s">
        <v>519</v>
      </c>
      <c r="D2" s="30" t="s">
        <v>520</v>
      </c>
      <c r="E2" s="32" t="s">
        <v>60</v>
      </c>
      <c r="F2" s="30" t="s">
        <v>92</v>
      </c>
      <c r="G2" s="30" t="s">
        <v>521</v>
      </c>
    </row>
    <row r="3" spans="1:7" ht="25.8" x14ac:dyDescent="0.25">
      <c r="A3" s="45">
        <v>1</v>
      </c>
      <c r="B3" s="46" t="s">
        <v>599</v>
      </c>
      <c r="C3" s="57" t="s">
        <v>1035</v>
      </c>
      <c r="D3" s="57" t="s">
        <v>600</v>
      </c>
      <c r="E3" s="46" t="s">
        <v>469</v>
      </c>
      <c r="F3" s="46" t="s">
        <v>468</v>
      </c>
      <c r="G3" s="47" t="s">
        <v>146</v>
      </c>
    </row>
    <row r="4" spans="1:7" ht="25.8" x14ac:dyDescent="0.25">
      <c r="A4" s="48">
        <v>2</v>
      </c>
      <c r="B4" s="49" t="s">
        <v>739</v>
      </c>
      <c r="C4" s="58" t="s">
        <v>1036</v>
      </c>
      <c r="D4" s="58" t="s">
        <v>740</v>
      </c>
      <c r="E4" s="49" t="s">
        <v>375</v>
      </c>
      <c r="F4" s="49" t="s">
        <v>96</v>
      </c>
      <c r="G4" s="50" t="s">
        <v>258</v>
      </c>
    </row>
    <row r="5" spans="1:7" ht="26.4" x14ac:dyDescent="0.7">
      <c r="A5" s="138" t="s">
        <v>85</v>
      </c>
      <c r="B5" s="139"/>
      <c r="C5" s="140" t="s">
        <v>86</v>
      </c>
      <c r="D5" s="139"/>
    </row>
    <row r="6" spans="1:7" ht="25.8" x14ac:dyDescent="0.65">
      <c r="A6" s="135" t="s">
        <v>87</v>
      </c>
      <c r="B6" s="136"/>
      <c r="C6" s="137">
        <f>COUNTIFS(B3:B4,"&lt;&gt;ว่าง")</f>
        <v>2</v>
      </c>
      <c r="D6" s="136"/>
    </row>
    <row r="7" spans="1:7" ht="25.8" x14ac:dyDescent="0.65">
      <c r="A7" s="135" t="s">
        <v>88</v>
      </c>
      <c r="B7" s="136"/>
      <c r="C7" s="141">
        <f>COUNTIF(B3:B4,"ว่าง")</f>
        <v>0</v>
      </c>
      <c r="D7" s="142"/>
    </row>
    <row r="8" spans="1:7" ht="25.8" x14ac:dyDescent="0.65">
      <c r="A8" s="135" t="s">
        <v>89</v>
      </c>
      <c r="B8" s="136"/>
      <c r="C8" s="137">
        <f>C6+C7</f>
        <v>2</v>
      </c>
      <c r="D8" s="136"/>
    </row>
  </sheetData>
  <mergeCells count="9">
    <mergeCell ref="A8:B8"/>
    <mergeCell ref="C8:D8"/>
    <mergeCell ref="A1:G1"/>
    <mergeCell ref="A5:B5"/>
    <mergeCell ref="C5:D5"/>
    <mergeCell ref="A6:B6"/>
    <mergeCell ref="C6:D6"/>
    <mergeCell ref="A7:B7"/>
    <mergeCell ref="C7:D7"/>
  </mergeCells>
  <conditionalFormatting sqref="B3">
    <cfRule type="duplicateValues" dxfId="5" priority="6"/>
    <cfRule type="duplicateValues" dxfId="4" priority="7"/>
  </conditionalFormatting>
  <conditionalFormatting sqref="B4">
    <cfRule type="duplicateValues" dxfId="3" priority="4"/>
    <cfRule type="duplicateValues" dxfId="2" priority="5"/>
  </conditionalFormatting>
  <conditionalFormatting sqref="B5:B8">
    <cfRule type="duplicateValues" dxfId="1" priority="1"/>
    <cfRule type="duplicateValues" dxfId="0" priority="2"/>
  </conditionalFormatting>
  <conditionalFormatting sqref="C5:D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{D6990A6D-DA7F-4CFD-BC31-1964532016A7}</x14:id>
        </ext>
      </extLst>
    </cfRule>
  </conditionalFormatting>
  <conditionalFormatting sqref="E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{E62CBB2F-30E5-428E-8178-B2614B08F9B8}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990A6D-DA7F-4CFD-BC31-1964532016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C5:D5</xm:sqref>
        </x14:conditionalFormatting>
        <x14:conditionalFormatting xmlns:xm="http://schemas.microsoft.com/office/excel/2006/main">
          <x14:cfRule type="dataBar" id="{E62CBB2F-30E5-428E-8178-B2614B08F9B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98AA-E78C-4D20-8503-01B4164EC508}">
  <dimension ref="A1:D15"/>
  <sheetViews>
    <sheetView workbookViewId="0">
      <selection activeCell="G14" sqref="G14"/>
    </sheetView>
  </sheetViews>
  <sheetFormatPr defaultRowHeight="13.8" x14ac:dyDescent="0.25"/>
  <cols>
    <col min="1" max="1" width="36.8984375" bestFit="1" customWidth="1"/>
    <col min="2" max="2" width="24.09765625" bestFit="1" customWidth="1"/>
    <col min="3" max="4" width="33.5" bestFit="1" customWidth="1"/>
  </cols>
  <sheetData>
    <row r="1" spans="1:4" ht="17.399999999999999" x14ac:dyDescent="0.3">
      <c r="A1" s="37" t="s">
        <v>1037</v>
      </c>
      <c r="B1" s="37" t="s">
        <v>1038</v>
      </c>
      <c r="C1" s="37" t="s">
        <v>1039</v>
      </c>
      <c r="D1" s="37" t="s">
        <v>1040</v>
      </c>
    </row>
    <row r="2" spans="1:4" ht="17.399999999999999" x14ac:dyDescent="0.3">
      <c r="A2" s="37" t="s">
        <v>1041</v>
      </c>
      <c r="B2" s="37" t="s">
        <v>1042</v>
      </c>
      <c r="C2" s="37" t="s">
        <v>1043</v>
      </c>
      <c r="D2" s="37" t="s">
        <v>1044</v>
      </c>
    </row>
    <row r="3" spans="1:4" ht="17.399999999999999" x14ac:dyDescent="0.3">
      <c r="A3" s="37" t="s">
        <v>1045</v>
      </c>
      <c r="B3" s="38">
        <v>300</v>
      </c>
      <c r="C3" s="38">
        <v>300</v>
      </c>
      <c r="D3" s="38">
        <v>300</v>
      </c>
    </row>
    <row r="4" spans="1:4" ht="17.399999999999999" x14ac:dyDescent="0.3">
      <c r="A4" s="37" t="s">
        <v>1046</v>
      </c>
      <c r="B4" s="37" t="s">
        <v>1047</v>
      </c>
      <c r="C4" s="37" t="s">
        <v>1048</v>
      </c>
      <c r="D4" s="37" t="s">
        <v>1048</v>
      </c>
    </row>
    <row r="5" spans="1:4" ht="17.399999999999999" x14ac:dyDescent="0.3">
      <c r="A5" s="37" t="s">
        <v>1049</v>
      </c>
      <c r="B5" s="37" t="s">
        <v>1050</v>
      </c>
      <c r="C5" s="37" t="s">
        <v>1050</v>
      </c>
      <c r="D5" s="37" t="s">
        <v>1050</v>
      </c>
    </row>
    <row r="6" spans="1:4" ht="17.399999999999999" x14ac:dyDescent="0.3">
      <c r="A6" s="37" t="s">
        <v>1051</v>
      </c>
      <c r="B6" s="37" t="s">
        <v>1052</v>
      </c>
      <c r="C6" s="37" t="s">
        <v>1052</v>
      </c>
      <c r="D6" s="37" t="s">
        <v>1052</v>
      </c>
    </row>
    <row r="7" spans="1:4" ht="17.399999999999999" x14ac:dyDescent="0.3">
      <c r="A7" s="37" t="s">
        <v>1053</v>
      </c>
      <c r="B7" s="37" t="s">
        <v>1054</v>
      </c>
      <c r="C7" s="37" t="s">
        <v>1054</v>
      </c>
      <c r="D7" s="37" t="s">
        <v>1054</v>
      </c>
    </row>
    <row r="8" spans="1:4" ht="17.399999999999999" x14ac:dyDescent="0.3">
      <c r="A8" s="37" t="s">
        <v>1055</v>
      </c>
      <c r="B8" s="37" t="s">
        <v>1054</v>
      </c>
      <c r="C8" s="37" t="s">
        <v>1054</v>
      </c>
      <c r="D8" s="37" t="s">
        <v>1054</v>
      </c>
    </row>
    <row r="9" spans="1:4" ht="17.399999999999999" x14ac:dyDescent="0.3">
      <c r="A9" s="37" t="s">
        <v>1056</v>
      </c>
      <c r="B9" s="37" t="s">
        <v>1057</v>
      </c>
      <c r="C9" s="37" t="s">
        <v>1054</v>
      </c>
      <c r="D9" s="37" t="s">
        <v>1054</v>
      </c>
    </row>
    <row r="10" spans="1:4" ht="17.399999999999999" x14ac:dyDescent="0.3">
      <c r="A10" s="37" t="s">
        <v>1058</v>
      </c>
      <c r="B10" s="37" t="s">
        <v>1057</v>
      </c>
      <c r="C10" s="37" t="s">
        <v>1054</v>
      </c>
      <c r="D10" s="37" t="s">
        <v>1054</v>
      </c>
    </row>
    <row r="11" spans="1:4" ht="17.399999999999999" x14ac:dyDescent="0.3">
      <c r="A11" s="37" t="s">
        <v>1059</v>
      </c>
      <c r="B11" s="37" t="s">
        <v>1057</v>
      </c>
      <c r="C11" s="37" t="s">
        <v>1057</v>
      </c>
      <c r="D11" s="37" t="s">
        <v>1054</v>
      </c>
    </row>
    <row r="12" spans="1:4" ht="17.399999999999999" x14ac:dyDescent="0.3">
      <c r="A12" s="37" t="s">
        <v>1060</v>
      </c>
      <c r="B12" s="37" t="s">
        <v>1057</v>
      </c>
      <c r="C12" s="37" t="s">
        <v>1057</v>
      </c>
      <c r="D12" s="37" t="s">
        <v>1054</v>
      </c>
    </row>
    <row r="13" spans="1:4" ht="17.399999999999999" x14ac:dyDescent="0.3">
      <c r="A13" s="37" t="s">
        <v>1061</v>
      </c>
      <c r="B13" s="37" t="s">
        <v>1057</v>
      </c>
      <c r="C13" s="37" t="s">
        <v>1057</v>
      </c>
      <c r="D13" s="37" t="s">
        <v>1054</v>
      </c>
    </row>
    <row r="14" spans="1:4" ht="17.399999999999999" x14ac:dyDescent="0.3">
      <c r="A14" s="37" t="s">
        <v>1062</v>
      </c>
      <c r="B14" s="37" t="s">
        <v>1057</v>
      </c>
      <c r="C14" s="37" t="s">
        <v>1057</v>
      </c>
      <c r="D14" s="37" t="s">
        <v>1054</v>
      </c>
    </row>
    <row r="15" spans="1:4" ht="17.399999999999999" x14ac:dyDescent="0.3">
      <c r="A15" s="37" t="s">
        <v>1063</v>
      </c>
      <c r="B15" s="37" t="s">
        <v>1057</v>
      </c>
      <c r="C15" s="37" t="s">
        <v>1057</v>
      </c>
      <c r="D15" s="37" t="s">
        <v>1054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30A9-24EC-467D-8420-6A86ED7702AE}">
  <dimension ref="A1:I13"/>
  <sheetViews>
    <sheetView workbookViewId="0">
      <selection activeCell="W32" sqref="W32"/>
    </sheetView>
  </sheetViews>
  <sheetFormatPr defaultRowHeight="13.8" x14ac:dyDescent="0.25"/>
  <sheetData>
    <row r="1" spans="1:9" ht="27.6" x14ac:dyDescent="0.8">
      <c r="A1" s="132" t="s">
        <v>1064</v>
      </c>
      <c r="B1" s="132"/>
      <c r="C1" s="132"/>
      <c r="D1" s="132"/>
      <c r="E1" s="132"/>
      <c r="F1" s="132"/>
      <c r="G1" s="132"/>
      <c r="H1" s="132"/>
      <c r="I1" s="132"/>
    </row>
    <row r="2" spans="1:9" ht="93.75" customHeight="1" x14ac:dyDescent="0.25">
      <c r="A2" s="143" t="s">
        <v>1065</v>
      </c>
      <c r="B2" s="143"/>
      <c r="C2" s="2">
        <v>66</v>
      </c>
      <c r="D2" s="2" t="s">
        <v>1066</v>
      </c>
      <c r="E2" s="12"/>
      <c r="F2" s="144"/>
      <c r="G2" s="144"/>
      <c r="H2" s="12"/>
      <c r="I2" s="12"/>
    </row>
    <row r="3" spans="1:9" x14ac:dyDescent="0.25">
      <c r="A3" s="126" t="s">
        <v>85</v>
      </c>
      <c r="B3" s="127"/>
      <c r="C3" s="128" t="s">
        <v>86</v>
      </c>
      <c r="D3" s="127"/>
      <c r="E3" s="12"/>
      <c r="F3" s="12"/>
      <c r="G3" s="12"/>
      <c r="H3" s="12"/>
      <c r="I3" s="12"/>
    </row>
    <row r="4" spans="1:9" x14ac:dyDescent="0.25">
      <c r="A4" s="120" t="s">
        <v>87</v>
      </c>
      <c r="B4" s="121"/>
      <c r="C4" s="124">
        <v>66</v>
      </c>
      <c r="D4" s="121"/>
      <c r="E4" s="12"/>
      <c r="F4" s="12"/>
      <c r="G4" s="12"/>
      <c r="H4" s="12"/>
      <c r="I4" s="12"/>
    </row>
    <row r="5" spans="1:9" x14ac:dyDescent="0.25">
      <c r="A5" s="120" t="s">
        <v>88</v>
      </c>
      <c r="B5" s="121"/>
      <c r="C5" s="122">
        <v>14</v>
      </c>
      <c r="D5" s="123"/>
      <c r="E5" s="12"/>
      <c r="F5" s="12"/>
      <c r="G5" s="12"/>
      <c r="H5" s="12"/>
      <c r="I5" s="12"/>
    </row>
    <row r="6" spans="1:9" x14ac:dyDescent="0.25">
      <c r="A6" s="120" t="s">
        <v>89</v>
      </c>
      <c r="B6" s="121"/>
      <c r="C6" s="124">
        <v>80</v>
      </c>
      <c r="D6" s="121"/>
      <c r="E6" s="12"/>
      <c r="F6" s="12"/>
      <c r="G6" s="12"/>
      <c r="H6" s="12"/>
      <c r="I6" s="12"/>
    </row>
    <row r="7" spans="1:9" x14ac:dyDescent="0.25">
      <c r="A7" s="12"/>
      <c r="B7" s="12"/>
      <c r="C7" s="12"/>
      <c r="D7" s="12"/>
      <c r="E7" s="12"/>
      <c r="F7" s="12"/>
      <c r="G7" s="12"/>
      <c r="H7" s="12"/>
      <c r="I7" s="12"/>
    </row>
    <row r="8" spans="1:9" ht="27.6" x14ac:dyDescent="0.8">
      <c r="A8" s="132" t="s">
        <v>1067</v>
      </c>
      <c r="B8" s="132"/>
      <c r="C8" s="132"/>
      <c r="D8" s="132"/>
      <c r="E8" s="132"/>
      <c r="F8" s="132"/>
      <c r="G8" s="132"/>
      <c r="H8" s="132"/>
      <c r="I8" s="132"/>
    </row>
    <row r="9" spans="1:9" ht="93.75" customHeight="1" x14ac:dyDescent="0.25">
      <c r="A9" s="143" t="s">
        <v>1065</v>
      </c>
      <c r="B9" s="143"/>
      <c r="C9" s="2">
        <v>80</v>
      </c>
      <c r="D9" s="2" t="s">
        <v>1066</v>
      </c>
      <c r="E9" s="12"/>
      <c r="F9" s="12"/>
      <c r="G9" s="12"/>
      <c r="H9" s="12"/>
      <c r="I9" s="12"/>
    </row>
    <row r="10" spans="1:9" x14ac:dyDescent="0.25">
      <c r="A10" s="126" t="s">
        <v>85</v>
      </c>
      <c r="B10" s="127"/>
      <c r="C10" s="128" t="s">
        <v>86</v>
      </c>
      <c r="D10" s="127"/>
    </row>
    <row r="11" spans="1:9" x14ac:dyDescent="0.25">
      <c r="A11" s="120" t="s">
        <v>87</v>
      </c>
      <c r="B11" s="121"/>
      <c r="C11" s="124">
        <v>80</v>
      </c>
      <c r="D11" s="121"/>
    </row>
    <row r="12" spans="1:9" x14ac:dyDescent="0.25">
      <c r="A12" s="120" t="s">
        <v>88</v>
      </c>
      <c r="B12" s="121"/>
      <c r="C12" s="122">
        <v>0</v>
      </c>
      <c r="D12" s="123"/>
    </row>
    <row r="13" spans="1:9" x14ac:dyDescent="0.25">
      <c r="A13" s="120" t="s">
        <v>89</v>
      </c>
      <c r="B13" s="121"/>
      <c r="C13" s="124">
        <v>80</v>
      </c>
      <c r="D13" s="121"/>
    </row>
  </sheetData>
  <mergeCells count="21">
    <mergeCell ref="A1:I1"/>
    <mergeCell ref="A8:I8"/>
    <mergeCell ref="A2:B2"/>
    <mergeCell ref="F2:G2"/>
    <mergeCell ref="A9:B9"/>
    <mergeCell ref="A13:B13"/>
    <mergeCell ref="C13:D13"/>
    <mergeCell ref="A3:B3"/>
    <mergeCell ref="C3:D3"/>
    <mergeCell ref="A4:B4"/>
    <mergeCell ref="C4:D4"/>
    <mergeCell ref="A5:B5"/>
    <mergeCell ref="C5:D5"/>
    <mergeCell ref="A6:B6"/>
    <mergeCell ref="C6:D6"/>
    <mergeCell ref="A10:B10"/>
    <mergeCell ref="C10:D10"/>
    <mergeCell ref="A11:B11"/>
    <mergeCell ref="C11:D11"/>
    <mergeCell ref="A12:B12"/>
    <mergeCell ref="C12:D12"/>
  </mergeCells>
  <conditionalFormatting sqref="C3:D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{265C33CB-B7F6-4EEF-9C25-63BFAF594CA6}</x14:id>
        </ext>
      </extLst>
    </cfRule>
  </conditionalFormatting>
  <conditionalFormatting sqref="C10:D10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{E2E72C46-AEDF-45FB-9EB1-8D0321D5616A}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5C33CB-B7F6-4EEF-9C25-63BFAF594C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C3:D3</xm:sqref>
        </x14:conditionalFormatting>
        <x14:conditionalFormatting xmlns:xm="http://schemas.microsoft.com/office/excel/2006/main">
          <x14:cfRule type="dataBar" id="{E2E72C46-AEDF-45FB-9EB1-8D0321D5616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C10:D10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C62EC7A8419A449F9B86172F15A377" ma:contentTypeVersion="14" ma:contentTypeDescription="Create a new document." ma:contentTypeScope="" ma:versionID="b7baa5e68384fa41840c04eb28526fc0">
  <xsd:schema xmlns:xsd="http://www.w3.org/2001/XMLSchema" xmlns:xs="http://www.w3.org/2001/XMLSchema" xmlns:p="http://schemas.microsoft.com/office/2006/metadata/properties" xmlns:ns2="1f6a3cb3-7ed8-4dff-adae-eea786e7335c" xmlns:ns3="c5a18c76-b749-4343-9c1d-303eadb79e6c" targetNamespace="http://schemas.microsoft.com/office/2006/metadata/properties" ma:root="true" ma:fieldsID="e64537676c8af67489fbedd0d2d3ecad" ns2:_="" ns3:_="">
    <xsd:import namespace="1f6a3cb3-7ed8-4dff-adae-eea786e7335c"/>
    <xsd:import namespace="c5a18c76-b749-4343-9c1d-303eadb79e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a3cb3-7ed8-4dff-adae-eea786e733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2148631-64f3-464a-b08b-7f06f344f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18c76-b749-4343-9c1d-303eadb79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9d1a35f-9df3-4cc5-aeb3-4a9e2dec41b1}" ma:internalName="TaxCatchAll" ma:showField="CatchAllData" ma:web="c5a18c76-b749-4343-9c1d-303eadb79e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a18c76-b749-4343-9c1d-303eadb79e6c" xsi:nil="true"/>
    <lcf76f155ced4ddcb4097134ff3c332f xmlns="1f6a3cb3-7ed8-4dff-adae-eea786e7335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BBDA0-F671-41E3-A46A-8B76EAB5EC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6a3cb3-7ed8-4dff-adae-eea786e7335c"/>
    <ds:schemaRef ds:uri="c5a18c76-b749-4343-9c1d-303eadb79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4642E4-5891-4D31-A5AC-FC3276A27EF8}">
  <ds:schemaRefs>
    <ds:schemaRef ds:uri="http://schemas.microsoft.com/office/2006/metadata/properties"/>
    <ds:schemaRef ds:uri="http://schemas.microsoft.com/office/infopath/2007/PartnerControls"/>
    <ds:schemaRef ds:uri="c5a18c76-b749-4343-9c1d-303eadb79e6c"/>
    <ds:schemaRef ds:uri="1f6a3cb3-7ed8-4dff-adae-eea786e7335c"/>
  </ds:schemaRefs>
</ds:datastoreItem>
</file>

<file path=customXml/itemProps3.xml><?xml version="1.0" encoding="utf-8"?>
<ds:datastoreItem xmlns:ds="http://schemas.openxmlformats.org/officeDocument/2006/customXml" ds:itemID="{7AFFBEF8-2963-423F-BE2B-F84A266294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รวมทุกโปรแกรม</vt:lpstr>
      <vt:lpstr>Adobe</vt:lpstr>
      <vt:lpstr>AutoCAD LT</vt:lpstr>
      <vt:lpstr>Sheet1</vt:lpstr>
      <vt:lpstr>AEC + DOC</vt:lpstr>
      <vt:lpstr>AutoCAD + BIM Collaborate P</vt:lpstr>
      <vt:lpstr>Sketch up + Midas</vt:lpstr>
      <vt:lpstr>Microsoft Basic</vt:lpstr>
      <vt:lpstr>Microsft Standard</vt:lpstr>
      <vt:lpstr>Microsoft Premium</vt:lpstr>
      <vt:lpstr>Microsoft Project</vt:lpstr>
      <vt:lpstr>MS 365</vt:lpstr>
      <vt:lpstr>Antivirus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MEC Worawit B</dc:creator>
  <cp:keywords/>
  <dc:description/>
  <cp:lastModifiedBy>MEC Patiwat M</cp:lastModifiedBy>
  <cp:revision/>
  <dcterms:created xsi:type="dcterms:W3CDTF">2025-10-17T03:38:38Z</dcterms:created>
  <dcterms:modified xsi:type="dcterms:W3CDTF">2026-04-28T03:41:29Z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0x010100F5C62EC7A8419A449F9B86172F15A377</vt:lpwstr>
  </property>
  <property fmtid="{D5CDD505-2E9C-101B-9397-08002B2CF9AE}" pid="3" name="MediaServiceImageTags">
    <vt:lpwstr/>
  </property>
  <property fmtid="{D5CDD505-2E9C-101B-9397-08002B2CF9AE}" pid="4" name="MSIP_Label_46db2b68-9f0b-40be-8c11-c9771440dfe3_Enabled">
    <vt:lpwstr>true</vt:lpwstr>
  </property>
  <property fmtid="{D5CDD505-2E9C-101B-9397-08002B2CF9AE}" pid="5" name="MSIP_Label_46db2b68-9f0b-40be-8c11-c9771440dfe3_SetDate">
    <vt:lpwstr>2026-02-16T07:08:27Z</vt:lpwstr>
  </property>
  <property fmtid="{D5CDD505-2E9C-101B-9397-08002B2CF9AE}" pid="6" name="MSIP_Label_46db2b68-9f0b-40be-8c11-c9771440dfe3_Method">
    <vt:lpwstr>Standard</vt:lpwstr>
  </property>
  <property fmtid="{D5CDD505-2E9C-101B-9397-08002B2CF9AE}" pid="7" name="MSIP_Label_46db2b68-9f0b-40be-8c11-c9771440dfe3_Name">
    <vt:lpwstr>General</vt:lpwstr>
  </property>
  <property fmtid="{D5CDD505-2E9C-101B-9397-08002B2CF9AE}" pid="8" name="MSIP_Label_46db2b68-9f0b-40be-8c11-c9771440dfe3_SiteId">
    <vt:lpwstr>7a3793d9-579c-498a-bfc6-f3f01fc9d74f</vt:lpwstr>
  </property>
  <property fmtid="{D5CDD505-2E9C-101B-9397-08002B2CF9AE}" pid="9" name="MSIP_Label_46db2b68-9f0b-40be-8c11-c9771440dfe3_ActionId">
    <vt:lpwstr>afe76a8c-552f-4e6f-806c-6d6f45eb9f89</vt:lpwstr>
  </property>
  <property fmtid="{D5CDD505-2E9C-101B-9397-08002B2CF9AE}" pid="10" name="MSIP_Label_46db2b68-9f0b-40be-8c11-c9771440dfe3_ContentBits">
    <vt:lpwstr>0</vt:lpwstr>
  </property>
  <property fmtid="{D5CDD505-2E9C-101B-9397-08002B2CF9AE}" pid="11" name="MSIP_Label_46db2b68-9f0b-40be-8c11-c9771440dfe3_Tag">
    <vt:lpwstr>10, 3, 0, 2</vt:lpwstr>
  </property>
</Properties>
</file>